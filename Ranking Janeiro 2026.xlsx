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RANKING\2026\Janeiro\"/>
    </mc:Choice>
  </mc:AlternateContent>
  <bookViews>
    <workbookView xWindow="0" yWindow="0" windowWidth="20400" windowHeight="8760" activeTab="1"/>
  </bookViews>
  <sheets>
    <sheet name="Geral" sheetId="1" r:id="rId1"/>
    <sheet name="Ranking" sheetId="2" r:id="rId2"/>
    <sheet name="99Food" sheetId="3" r:id="rId3"/>
    <sheet name="La Fruta" sheetId="4" r:id="rId4"/>
    <sheet name="La Fit" sheetId="5" r:id="rId5"/>
    <sheet name="Lanches" sheetId="6" r:id="rId6"/>
    <sheet name="Baratim" sheetId="7" r:id="rId7"/>
  </sheets>
  <definedNames>
    <definedName name="_xlnm._FilterDatabase" localSheetId="2" hidden="1">'99Food'!$A$2:$C$2</definedName>
    <definedName name="_xlnm._FilterDatabase" localSheetId="6" hidden="1">Baratim!$A$2:$F$2</definedName>
    <definedName name="_xlnm._FilterDatabase" localSheetId="0" hidden="1">Geral!$A$2:$S$2</definedName>
    <definedName name="_xlnm._FilterDatabase" localSheetId="4" hidden="1">'La Fit'!$A$2:$F$2</definedName>
    <definedName name="_xlnm._FilterDatabase" localSheetId="3" hidden="1">'La Fruta'!$A$1:$E$1</definedName>
    <definedName name="_xlnm._FilterDatabase" localSheetId="5" hidden="1">Lanches!$A$2:$F$2</definedName>
    <definedName name="_xlnm._FilterDatabase" localSheetId="1" hidden="1">Ranking!$A$2:$C$2</definedName>
  </definedNames>
  <calcPr calcId="162913" iterateCount="100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C31" i="2"/>
  <c r="C38" i="2"/>
  <c r="C12" i="2"/>
  <c r="C24" i="2"/>
  <c r="C17" i="2"/>
  <c r="C16" i="2"/>
  <c r="C30" i="2"/>
  <c r="C28" i="2"/>
  <c r="C20" i="2"/>
  <c r="C33" i="2"/>
  <c r="C21" i="2"/>
  <c r="C15" i="2"/>
  <c r="C23" i="2"/>
  <c r="C25" i="2"/>
  <c r="C9" i="2"/>
  <c r="C3" i="2"/>
  <c r="C22" i="2"/>
  <c r="C13" i="2"/>
  <c r="C8" i="2"/>
  <c r="C35" i="2"/>
  <c r="C10" i="2"/>
  <c r="C27" i="2"/>
  <c r="C11" i="2"/>
  <c r="C34" i="2"/>
  <c r="C19" i="2"/>
  <c r="C37" i="2"/>
  <c r="C36" i="2"/>
  <c r="C7" i="2"/>
  <c r="C4" i="2"/>
  <c r="C6" i="2"/>
  <c r="C26" i="2"/>
  <c r="C32" i="2"/>
  <c r="C29" i="2"/>
  <c r="C18" i="2"/>
  <c r="C39" i="2"/>
  <c r="C5" i="2"/>
  <c r="B17" i="2"/>
  <c r="B8" i="2"/>
  <c r="B35" i="2"/>
  <c r="B10" i="2"/>
  <c r="B27" i="2"/>
  <c r="B11" i="2"/>
  <c r="B34" i="2"/>
  <c r="B19" i="2"/>
  <c r="B37" i="2"/>
  <c r="B36" i="2"/>
  <c r="B7" i="2"/>
  <c r="B4" i="2"/>
  <c r="B6" i="2"/>
  <c r="B26" i="2"/>
  <c r="B32" i="2"/>
  <c r="B29" i="2"/>
  <c r="B18" i="2"/>
  <c r="B39" i="2"/>
  <c r="B16" i="2"/>
  <c r="B30" i="2"/>
  <c r="B28" i="2"/>
  <c r="B20" i="2"/>
  <c r="B33" i="2"/>
  <c r="B21" i="2"/>
  <c r="B15" i="2"/>
  <c r="B23" i="2"/>
  <c r="B25" i="2"/>
  <c r="B9" i="2"/>
  <c r="B3" i="2"/>
  <c r="B22" i="2"/>
  <c r="B13" i="2"/>
  <c r="B14" i="2"/>
  <c r="B31" i="2"/>
  <c r="B38" i="2"/>
  <c r="B12" i="2"/>
  <c r="B24" i="2"/>
  <c r="B5" i="2"/>
  <c r="R21" i="1" l="1"/>
  <c r="S21" i="1"/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3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3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2" i="4"/>
  <c r="B32" i="4"/>
  <c r="B33" i="4"/>
  <c r="B34" i="4"/>
  <c r="B35" i="4"/>
  <c r="B36" i="4"/>
  <c r="B37" i="4"/>
  <c r="B38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" i="4"/>
  <c r="B4" i="4"/>
  <c r="B5" i="4"/>
  <c r="B6" i="4"/>
  <c r="B7" i="4"/>
  <c r="B8" i="4"/>
  <c r="B9" i="4"/>
  <c r="B10" i="4"/>
  <c r="B11" i="4"/>
  <c r="B12" i="4"/>
  <c r="C38" i="3"/>
  <c r="C39" i="3"/>
  <c r="C4" i="3"/>
  <c r="C28" i="3"/>
  <c r="C8" i="3"/>
  <c r="C5" i="3"/>
  <c r="C29" i="3"/>
  <c r="C30" i="3"/>
  <c r="C31" i="3"/>
  <c r="C32" i="3"/>
  <c r="C33" i="3"/>
  <c r="C34" i="3"/>
  <c r="C35" i="3"/>
  <c r="C12" i="3"/>
  <c r="C36" i="3"/>
  <c r="C37" i="3"/>
  <c r="C10" i="3"/>
  <c r="C6" i="3"/>
  <c r="C16" i="3"/>
  <c r="C7" i="3"/>
  <c r="C17" i="3"/>
  <c r="C9" i="3"/>
  <c r="C3" i="3"/>
  <c r="C18" i="3"/>
  <c r="C19" i="3"/>
  <c r="C20" i="3"/>
  <c r="C14" i="3"/>
  <c r="C21" i="3"/>
  <c r="C22" i="3"/>
  <c r="C23" i="3"/>
  <c r="C24" i="3"/>
  <c r="C25" i="3"/>
  <c r="C11" i="3"/>
  <c r="C13" i="3"/>
  <c r="C26" i="3"/>
  <c r="C27" i="3"/>
  <c r="C15" i="3"/>
  <c r="B16" i="3"/>
  <c r="B7" i="3"/>
  <c r="B17" i="3"/>
  <c r="B9" i="3"/>
  <c r="B3" i="3"/>
  <c r="B18" i="3"/>
  <c r="B19" i="3"/>
  <c r="B20" i="3"/>
  <c r="B14" i="3"/>
  <c r="B21" i="3"/>
  <c r="B22" i="3"/>
  <c r="B23" i="3"/>
  <c r="B24" i="3"/>
  <c r="B25" i="3"/>
  <c r="B11" i="3"/>
  <c r="B13" i="3"/>
  <c r="B26" i="3"/>
  <c r="B27" i="3"/>
  <c r="B28" i="3"/>
  <c r="B8" i="3"/>
  <c r="B5" i="3"/>
  <c r="B29" i="3"/>
  <c r="B30" i="3"/>
  <c r="B31" i="3"/>
  <c r="B32" i="3"/>
  <c r="B33" i="3"/>
  <c r="B34" i="3"/>
  <c r="B35" i="3"/>
  <c r="B12" i="3"/>
  <c r="B36" i="3"/>
  <c r="B37" i="3"/>
  <c r="B10" i="3"/>
  <c r="B6" i="3"/>
  <c r="B38" i="3"/>
  <c r="B39" i="3"/>
  <c r="B4" i="3"/>
  <c r="B15" i="3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E11" i="4" l="1"/>
  <c r="E10" i="4"/>
  <c r="E9" i="4"/>
  <c r="E7" i="4"/>
  <c r="E8" i="4"/>
  <c r="E3" i="7" l="1"/>
  <c r="F3" i="7" s="1"/>
  <c r="E35" i="7"/>
  <c r="F35" i="7" s="1"/>
  <c r="E4" i="7"/>
  <c r="F4" i="7" s="1"/>
  <c r="E6" i="7"/>
  <c r="F6" i="7" s="1"/>
  <c r="E7" i="7"/>
  <c r="F7" i="7" s="1"/>
  <c r="E10" i="7"/>
  <c r="F10" i="7" s="1"/>
  <c r="E12" i="7"/>
  <c r="F12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6" i="7"/>
  <c r="F36" i="7" s="1"/>
  <c r="E37" i="7"/>
  <c r="F37" i="7" s="1"/>
  <c r="E38" i="7"/>
  <c r="F38" i="7" s="1"/>
  <c r="E39" i="7"/>
  <c r="F39" i="7" s="1"/>
  <c r="E13" i="7"/>
  <c r="F13" i="7" s="1"/>
  <c r="E28" i="7"/>
  <c r="F28" i="7" s="1"/>
  <c r="E20" i="7"/>
  <c r="F20" i="7" s="1"/>
  <c r="E11" i="7"/>
  <c r="F11" i="7" s="1"/>
  <c r="E9" i="7"/>
  <c r="F9" i="7" s="1"/>
  <c r="E8" i="7"/>
  <c r="F8" i="7" s="1"/>
  <c r="E5" i="7"/>
  <c r="F5" i="7" s="1"/>
  <c r="E5" i="6"/>
  <c r="F5" i="6" s="1"/>
  <c r="E39" i="6"/>
  <c r="F39" i="6" s="1"/>
  <c r="E26" i="6"/>
  <c r="F26" i="6" s="1"/>
  <c r="B3" i="6"/>
  <c r="E38" i="5"/>
  <c r="F38" i="5" s="1"/>
  <c r="E18" i="4"/>
  <c r="B2" i="4"/>
  <c r="R31" i="1"/>
  <c r="R3" i="1"/>
  <c r="S3" i="1"/>
  <c r="R15" i="1"/>
  <c r="R34" i="1"/>
  <c r="R27" i="1"/>
  <c r="R19" i="1"/>
  <c r="R8" i="1"/>
  <c r="R37" i="1"/>
  <c r="R14" i="1"/>
  <c r="R33" i="1"/>
  <c r="R30" i="1"/>
  <c r="R28" i="1"/>
  <c r="R16" i="1"/>
  <c r="R24" i="1"/>
  <c r="R39" i="1"/>
  <c r="R4" i="1"/>
  <c r="R38" i="1"/>
  <c r="R29" i="1"/>
  <c r="R35" i="1"/>
  <c r="R7" i="1"/>
  <c r="R26" i="1"/>
  <c r="R18" i="1"/>
  <c r="R10" i="1"/>
  <c r="R6" i="1"/>
  <c r="R32" i="1"/>
  <c r="R23" i="1"/>
  <c r="R17" i="1"/>
  <c r="R25" i="1"/>
  <c r="R22" i="1"/>
  <c r="R5" i="1"/>
  <c r="R9" i="1"/>
  <c r="R12" i="1"/>
  <c r="R11" i="1"/>
  <c r="R36" i="1"/>
  <c r="R13" i="1"/>
  <c r="S40" i="1" l="1"/>
  <c r="E14" i="4"/>
  <c r="E15" i="5"/>
  <c r="F15" i="5" s="1"/>
  <c r="E23" i="6"/>
  <c r="F23" i="6" s="1"/>
  <c r="E20" i="5"/>
  <c r="F20" i="5" s="1"/>
  <c r="E9" i="5"/>
  <c r="F9" i="5" s="1"/>
  <c r="E19" i="6"/>
  <c r="F19" i="6" s="1"/>
  <c r="E33" i="5"/>
  <c r="F33" i="5" s="1"/>
  <c r="E34" i="4"/>
  <c r="E18" i="6"/>
  <c r="F18" i="6" s="1"/>
  <c r="E27" i="5"/>
  <c r="F27" i="5" s="1"/>
  <c r="E9" i="6"/>
  <c r="F9" i="6" s="1"/>
  <c r="E29" i="6"/>
  <c r="F29" i="6" s="1"/>
  <c r="E28" i="6"/>
  <c r="F28" i="6" s="1"/>
  <c r="E22" i="6"/>
  <c r="F22" i="6" s="1"/>
  <c r="E6" i="4"/>
  <c r="E23" i="4"/>
  <c r="E20" i="4"/>
  <c r="E12" i="4"/>
  <c r="E4" i="4"/>
  <c r="E36" i="4"/>
  <c r="E39" i="5"/>
  <c r="F39" i="5" s="1"/>
  <c r="E11" i="5"/>
  <c r="F11" i="5" s="1"/>
  <c r="E18" i="5"/>
  <c r="F18" i="5" s="1"/>
  <c r="E5" i="5"/>
  <c r="F5" i="5" s="1"/>
  <c r="E32" i="5"/>
  <c r="F32" i="5" s="1"/>
  <c r="E30" i="5"/>
  <c r="F30" i="5" s="1"/>
  <c r="E26" i="5"/>
  <c r="F26" i="5" s="1"/>
  <c r="E7" i="5"/>
  <c r="F7" i="5" s="1"/>
  <c r="E6" i="5"/>
  <c r="F6" i="5" s="1"/>
  <c r="E10" i="5"/>
  <c r="F10" i="5" s="1"/>
  <c r="E14" i="6"/>
  <c r="F14" i="6" s="1"/>
  <c r="E28" i="4"/>
  <c r="E22" i="4"/>
  <c r="E4" i="6"/>
  <c r="F4" i="6" s="1"/>
  <c r="E19" i="5"/>
  <c r="F19" i="5" s="1"/>
  <c r="E37" i="5"/>
  <c r="F37" i="5" s="1"/>
  <c r="E24" i="5"/>
  <c r="F24" i="5" s="1"/>
  <c r="E25" i="5"/>
  <c r="F25" i="5" s="1"/>
  <c r="E12" i="6"/>
  <c r="F12" i="6" s="1"/>
  <c r="E30" i="6"/>
  <c r="F30" i="6" s="1"/>
  <c r="E38" i="4"/>
  <c r="E16" i="4"/>
  <c r="E27" i="4"/>
  <c r="E32" i="4"/>
  <c r="E33" i="6"/>
  <c r="F33" i="6" s="1"/>
  <c r="E16" i="6"/>
  <c r="F16" i="6" s="1"/>
  <c r="E31" i="6"/>
  <c r="F31" i="6" s="1"/>
  <c r="E27" i="6"/>
  <c r="F27" i="6" s="1"/>
  <c r="E21" i="6"/>
  <c r="F21" i="6" s="1"/>
  <c r="E3" i="6"/>
  <c r="F3" i="6" s="1"/>
  <c r="E37" i="6"/>
  <c r="F37" i="6" s="1"/>
  <c r="E13" i="6"/>
  <c r="F13" i="6" s="1"/>
  <c r="E20" i="6"/>
  <c r="F20" i="6" s="1"/>
  <c r="E35" i="6"/>
  <c r="F35" i="6" s="1"/>
  <c r="E38" i="6"/>
  <c r="F38" i="6" s="1"/>
  <c r="E32" i="6"/>
  <c r="F32" i="6" s="1"/>
  <c r="E35" i="5"/>
  <c r="F35" i="5" s="1"/>
  <c r="E23" i="5"/>
  <c r="F23" i="5" s="1"/>
  <c r="E36" i="6"/>
  <c r="F36" i="6" s="1"/>
  <c r="E34" i="6"/>
  <c r="F34" i="6" s="1"/>
  <c r="E6" i="6"/>
  <c r="F6" i="6" s="1"/>
  <c r="E7" i="6"/>
  <c r="F7" i="6" s="1"/>
  <c r="E8" i="6"/>
  <c r="F8" i="6" s="1"/>
  <c r="E24" i="6"/>
  <c r="F24" i="6" s="1"/>
  <c r="E17" i="6"/>
  <c r="F17" i="6" s="1"/>
  <c r="E15" i="6"/>
  <c r="F15" i="6" s="1"/>
  <c r="E10" i="6"/>
  <c r="F10" i="6" s="1"/>
  <c r="E25" i="6"/>
  <c r="F25" i="6" s="1"/>
  <c r="E11" i="6"/>
  <c r="F11" i="6" s="1"/>
  <c r="E17" i="5"/>
  <c r="F17" i="5" s="1"/>
  <c r="E36" i="5"/>
  <c r="F36" i="5" s="1"/>
  <c r="E21" i="5"/>
  <c r="F21" i="5" s="1"/>
  <c r="E29" i="5"/>
  <c r="F29" i="5" s="1"/>
  <c r="E3" i="5"/>
  <c r="F3" i="5" s="1"/>
  <c r="E31" i="5"/>
  <c r="F31" i="5" s="1"/>
  <c r="E22" i="5"/>
  <c r="F22" i="5" s="1"/>
  <c r="E34" i="5"/>
  <c r="F34" i="5" s="1"/>
  <c r="E4" i="5"/>
  <c r="F4" i="5" s="1"/>
  <c r="E13" i="5"/>
  <c r="F13" i="5" s="1"/>
  <c r="E12" i="5"/>
  <c r="F12" i="5" s="1"/>
  <c r="E16" i="5"/>
  <c r="F16" i="5" s="1"/>
  <c r="E8" i="5"/>
  <c r="F8" i="5" s="1"/>
  <c r="E28" i="5"/>
  <c r="F28" i="5" s="1"/>
  <c r="E14" i="5"/>
  <c r="F14" i="5" s="1"/>
  <c r="E29" i="4"/>
  <c r="E19" i="4"/>
  <c r="E35" i="4"/>
  <c r="E3" i="4"/>
  <c r="E30" i="4"/>
  <c r="E26" i="4"/>
  <c r="E17" i="4"/>
  <c r="E2" i="4"/>
  <c r="E24" i="4"/>
  <c r="E33" i="4"/>
  <c r="E31" i="4"/>
  <c r="E37" i="4"/>
  <c r="E13" i="4"/>
  <c r="E25" i="4"/>
  <c r="E15" i="4"/>
  <c r="E5" i="4"/>
  <c r="E21" i="4"/>
  <c r="R40" i="1"/>
</calcChain>
</file>

<file path=xl/sharedStrings.xml><?xml version="1.0" encoding="utf-8"?>
<sst xmlns="http://schemas.openxmlformats.org/spreadsheetml/2006/main" count="309" uniqueCount="105">
  <si>
    <t>RANKING DE FATURAMENTO LA FRUTA AÇAÍ 2025 - GERAL</t>
  </si>
  <si>
    <t>CIDADE</t>
  </si>
  <si>
    <t xml:space="preserve">PEDIDOS </t>
  </si>
  <si>
    <t>LA FRUTA IFOOD</t>
  </si>
  <si>
    <t xml:space="preserve">LANCHES E SUCOS </t>
  </si>
  <si>
    <t xml:space="preserve">PEDIDOS  </t>
  </si>
  <si>
    <t xml:space="preserve">LA FIT </t>
  </si>
  <si>
    <t>AÇAI BARATIM</t>
  </si>
  <si>
    <t>LA FRUTA 99FOOD</t>
  </si>
  <si>
    <t>LA FIT 99FOOD</t>
  </si>
  <si>
    <t>LANCHES &amp; SUCOS 99FOOD</t>
  </si>
  <si>
    <t>PEDIDOS SISTEMA</t>
  </si>
  <si>
    <t>FATURAMENTO TOTAL SISTEMA</t>
  </si>
  <si>
    <t>TOTAL DE PEDIDOS LOJA</t>
  </si>
  <si>
    <t>TOTAL FATURAMENTO LOJA</t>
  </si>
  <si>
    <t>La Fruta Açaí - Santana do Livramento</t>
  </si>
  <si>
    <t>La Fruta Açaí - Bagé</t>
  </si>
  <si>
    <t>La Fruta Açaí - Jataí</t>
  </si>
  <si>
    <t>La Fruta Açaí - São José do Rio Preto</t>
  </si>
  <si>
    <t>La Fruta Açaí - Samambaia Norte</t>
  </si>
  <si>
    <t>La Fruta Açaí - Osasco</t>
  </si>
  <si>
    <t>La Fruta Açaí - Campinas Prado</t>
  </si>
  <si>
    <t>La Fruta Açaí - Uruguaiana</t>
  </si>
  <si>
    <t>La Fruta Açaí - Itapema</t>
  </si>
  <si>
    <t>La Fruta Açaí - São Gabriel</t>
  </si>
  <si>
    <t>La Fruta Açaí - Santa Maria</t>
  </si>
  <si>
    <t>La Fruta Açaí - Samambaia Sul</t>
  </si>
  <si>
    <t xml:space="preserve">La Fruta Açaí - Jundiaí </t>
  </si>
  <si>
    <t>La Fruta Açai - Renascença/BH</t>
  </si>
  <si>
    <t>La Fruta Açaí - Pato Branco Centro</t>
  </si>
  <si>
    <t>La Fruta Açaí - Vila Mariana</t>
  </si>
  <si>
    <t>La Fruta Açaí - Bento Gonçalves</t>
  </si>
  <si>
    <t>La Fruta Açaí - Vacaria</t>
  </si>
  <si>
    <t>La Fruta Açaí - Santa Cruz do Sul/RS</t>
  </si>
  <si>
    <t>La Fruta Açaí - Tatuapé</t>
  </si>
  <si>
    <t>La Fruta Açaí - Botafogo RJ</t>
  </si>
  <si>
    <t>La Fruta Açaí - Rosário do Sul</t>
  </si>
  <si>
    <t>La Fruta Açaí - Mooca</t>
  </si>
  <si>
    <t>La Fruta Açaí - Flores da Cunha</t>
  </si>
  <si>
    <t>La Fruta Açaí - Bom Fim/ POA</t>
  </si>
  <si>
    <t>La Fruta Açaí - São Bernardo do Campo</t>
  </si>
  <si>
    <t>La Fruta Açai - Recreio/RJ</t>
  </si>
  <si>
    <t>La Fruta Açaí - Lajeado</t>
  </si>
  <si>
    <t>La Fruta Açaí - Rondonopolis</t>
  </si>
  <si>
    <t>La Fruta Açaí - Pato Branco Shopping</t>
  </si>
  <si>
    <t xml:space="preserve">La Fruta Açaí - BH Buritis </t>
  </si>
  <si>
    <t xml:space="preserve">La Fruta Açaí - Farroupilha </t>
  </si>
  <si>
    <t>La Fruta Açaí - Interlagos</t>
  </si>
  <si>
    <t>La Fruta Açaí - Ijuí</t>
  </si>
  <si>
    <t>La Fruta Açaí - Tremembé</t>
  </si>
  <si>
    <t>La Fruta Açaí - Itajai</t>
  </si>
  <si>
    <t>TOTAL</t>
  </si>
  <si>
    <r>
      <rPr>
        <b/>
        <sz val="9"/>
        <color theme="0"/>
        <rFont val="Bahnschrift SemiCondensed"/>
        <family val="2"/>
      </rPr>
      <t>RANKING GERAL POR FATURAMENTO</t>
    </r>
    <r>
      <rPr>
        <b/>
        <sz val="9"/>
        <color theme="0"/>
        <rFont val="Calibri"/>
        <family val="2"/>
        <scheme val="minor"/>
      </rPr>
      <t xml:space="preserve">
</t>
    </r>
  </si>
  <si>
    <t xml:space="preserve"> FATURAMENTO LOJA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</si>
  <si>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</si>
  <si>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</si>
  <si>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</si>
  <si>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</si>
  <si>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</si>
  <si>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</si>
  <si>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</si>
  <si>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</si>
  <si>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</si>
  <si>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</si>
  <si>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</si>
  <si>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</si>
  <si>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</si>
  <si>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</si>
  <si>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</si>
  <si>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</si>
  <si>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</si>
  <si>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</si>
  <si>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</si>
  <si>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</si>
  <si>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</si>
  <si>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</si>
  <si>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</si>
  <si>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</si>
  <si>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</si>
  <si>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</si>
  <si>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</si>
  <si>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</si>
  <si>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</si>
  <si>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</si>
  <si>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</si>
  <si>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</si>
  <si>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</si>
  <si>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</si>
  <si>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</si>
  <si>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</si>
  <si>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</si>
  <si>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</si>
  <si>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</si>
  <si>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</si>
  <si>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</si>
  <si>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</si>
  <si>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</si>
  <si>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99FOOD</t>
  </si>
  <si>
    <t>FRANQUIA</t>
  </si>
  <si>
    <t>POSIÇÃO</t>
  </si>
  <si>
    <t>IFOOD</t>
  </si>
  <si>
    <t>%</t>
  </si>
  <si>
    <t>Lanches e Sucos</t>
  </si>
  <si>
    <t>AÇAÍ BARATIM</t>
  </si>
  <si>
    <t xml:space="preserve">La Fruta Açaí - Passo Fundo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</si>
</sst>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Bahnschrift SemiCondensed"/>
      <family val="2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trike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F0FE9C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BB7FF"/>
        <bgColor indexed="64"/>
      </patternFill>
    </fill>
    <fill>
      <patternFill patternType="solid">
        <fgColor rgb="FF43CE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7" borderId="6" xfId="0" applyFont="1" applyFill="1" applyBorder="1" applyAlignment="1">
      <alignment horizontal="left" vertical="center"/>
    </xf>
    <xf numFmtId="0" fontId="5" fillId="4" borderId="7" xfId="0" applyNumberFormat="1" applyFont="1" applyFill="1" applyBorder="1" applyAlignment="1">
      <alignment horizontal="left" vertical="center"/>
    </xf>
    <xf numFmtId="44" fontId="5" fillId="7" borderId="7" xfId="1" applyFont="1" applyFill="1" applyBorder="1" applyAlignment="1">
      <alignment vertical="center"/>
    </xf>
    <xf numFmtId="0" fontId="5" fillId="5" borderId="7" xfId="0" applyNumberFormat="1" applyFont="1" applyFill="1" applyBorder="1" applyAlignment="1">
      <alignment horizontal="left" vertical="center"/>
    </xf>
    <xf numFmtId="0" fontId="5" fillId="7" borderId="7" xfId="0" applyNumberFormat="1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4" borderId="7" xfId="0" applyNumberFormat="1" applyFont="1" applyFill="1" applyBorder="1" applyAlignment="1">
      <alignment horizontal="left" vertical="center"/>
    </xf>
    <xf numFmtId="0" fontId="6" fillId="5" borderId="7" xfId="2" applyNumberFormat="1" applyFont="1" applyFill="1" applyBorder="1" applyAlignment="1">
      <alignment horizontal="left" vertical="center"/>
    </xf>
    <xf numFmtId="0" fontId="6" fillId="5" borderId="7" xfId="0" applyNumberFormat="1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5" fillId="5" borderId="7" xfId="2" applyNumberFormat="1" applyFont="1" applyFill="1" applyBorder="1" applyAlignment="1">
      <alignment horizontal="left" vertical="center"/>
    </xf>
    <xf numFmtId="0" fontId="7" fillId="7" borderId="7" xfId="0" applyNumberFormat="1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0" fontId="7" fillId="4" borderId="7" xfId="0" applyNumberFormat="1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NumberFormat="1" applyFont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2" fillId="10" borderId="14" xfId="0" applyFont="1" applyFill="1" applyBorder="1"/>
    <xf numFmtId="44" fontId="8" fillId="10" borderId="14" xfId="0" applyNumberFormat="1" applyFont="1" applyFill="1" applyBorder="1"/>
    <xf numFmtId="0" fontId="4" fillId="3" borderId="3" xfId="0" applyFont="1" applyFill="1" applyBorder="1" applyAlignment="1">
      <alignment horizontal="left" vertical="center" wrapText="1"/>
    </xf>
    <xf numFmtId="3" fontId="4" fillId="4" borderId="4" xfId="0" applyNumberFormat="1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44" fontId="4" fillId="4" borderId="4" xfId="1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44" fontId="5" fillId="7" borderId="7" xfId="1" applyNumberFormat="1" applyFont="1" applyFill="1" applyBorder="1" applyAlignment="1">
      <alignment horizontal="left" vertical="center"/>
    </xf>
    <xf numFmtId="44" fontId="5" fillId="7" borderId="7" xfId="1" applyFont="1" applyFill="1" applyBorder="1" applyAlignment="1">
      <alignment horizontal="left" vertical="center"/>
    </xf>
    <xf numFmtId="44" fontId="5" fillId="0" borderId="7" xfId="1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44" fontId="5" fillId="6" borderId="9" xfId="0" applyNumberFormat="1" applyFont="1" applyFill="1" applyBorder="1" applyAlignment="1">
      <alignment horizontal="left" vertical="center"/>
    </xf>
    <xf numFmtId="44" fontId="6" fillId="7" borderId="7" xfId="1" applyNumberFormat="1" applyFont="1" applyFill="1" applyBorder="1" applyAlignment="1">
      <alignment horizontal="left" vertical="center"/>
    </xf>
    <xf numFmtId="44" fontId="6" fillId="7" borderId="7" xfId="1" applyFont="1" applyFill="1" applyBorder="1" applyAlignment="1">
      <alignment horizontal="left" vertical="center"/>
    </xf>
    <xf numFmtId="44" fontId="6" fillId="0" borderId="7" xfId="1" applyFont="1" applyFill="1" applyBorder="1" applyAlignment="1">
      <alignment horizontal="left" vertical="center"/>
    </xf>
    <xf numFmtId="44" fontId="5" fillId="8" borderId="7" xfId="1" applyNumberFormat="1" applyFont="1" applyFill="1" applyBorder="1" applyAlignment="1">
      <alignment horizontal="left" vertical="center"/>
    </xf>
    <xf numFmtId="44" fontId="7" fillId="7" borderId="7" xfId="1" applyFont="1" applyFill="1" applyBorder="1" applyAlignment="1">
      <alignment horizontal="left" vertical="center"/>
    </xf>
    <xf numFmtId="44" fontId="7" fillId="7" borderId="7" xfId="1" applyNumberFormat="1" applyFont="1" applyFill="1" applyBorder="1" applyAlignment="1">
      <alignment horizontal="left" vertical="center"/>
    </xf>
    <xf numFmtId="0" fontId="5" fillId="10" borderId="12" xfId="1" applyNumberFormat="1" applyFont="1" applyFill="1" applyBorder="1" applyAlignment="1">
      <alignment horizontal="center" vertical="center"/>
    </xf>
    <xf numFmtId="0" fontId="5" fillId="10" borderId="13" xfId="1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/>
    </xf>
    <xf numFmtId="44" fontId="5" fillId="7" borderId="11" xfId="1" applyNumberFormat="1" applyFont="1" applyFill="1" applyBorder="1" applyAlignment="1">
      <alignment horizontal="left" vertical="center"/>
    </xf>
    <xf numFmtId="0" fontId="5" fillId="10" borderId="18" xfId="1" applyNumberFormat="1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/>
    </xf>
    <xf numFmtId="44" fontId="5" fillId="7" borderId="9" xfId="0" applyNumberFormat="1" applyFont="1" applyFill="1" applyBorder="1"/>
    <xf numFmtId="0" fontId="4" fillId="5" borderId="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/>
    </xf>
    <xf numFmtId="44" fontId="5" fillId="7" borderId="9" xfId="1" applyNumberFormat="1" applyFont="1" applyFill="1" applyBorder="1" applyAlignment="1">
      <alignment horizontal="left" vertical="center"/>
    </xf>
    <xf numFmtId="0" fontId="7" fillId="10" borderId="0" xfId="0" applyFont="1" applyFill="1" applyAlignment="1">
      <alignment horizontal="center"/>
    </xf>
    <xf numFmtId="0" fontId="4" fillId="10" borderId="17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44" fontId="4" fillId="10" borderId="4" xfId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/>
    </xf>
    <xf numFmtId="164" fontId="5" fillId="9" borderId="9" xfId="1" applyNumberFormat="1" applyFont="1" applyFill="1" applyBorder="1" applyAlignment="1">
      <alignment horizontal="center" vertical="center"/>
    </xf>
    <xf numFmtId="44" fontId="0" fillId="7" borderId="7" xfId="0" applyNumberFormat="1" applyFill="1" applyBorder="1"/>
    <xf numFmtId="44" fontId="12" fillId="13" borderId="7" xfId="1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/>
    </xf>
    <xf numFmtId="0" fontId="7" fillId="13" borderId="24" xfId="0" applyFont="1" applyFill="1" applyBorder="1" applyAlignment="1">
      <alignment horizontal="center"/>
    </xf>
    <xf numFmtId="0" fontId="7" fillId="7" borderId="25" xfId="0" applyFont="1" applyFill="1" applyBorder="1" applyAlignment="1">
      <alignment horizontal="left" vertical="center"/>
    </xf>
    <xf numFmtId="44" fontId="7" fillId="7" borderId="25" xfId="1" applyFont="1" applyFill="1" applyBorder="1" applyAlignment="1">
      <alignment horizontal="left" vertical="center"/>
    </xf>
    <xf numFmtId="44" fontId="14" fillId="9" borderId="25" xfId="0" applyNumberFormat="1" applyFont="1" applyFill="1" applyBorder="1"/>
    <xf numFmtId="44" fontId="14" fillId="0" borderId="26" xfId="0" applyNumberFormat="1" applyFont="1" applyBorder="1"/>
    <xf numFmtId="44" fontId="14" fillId="9" borderId="7" xfId="0" applyNumberFormat="1" applyFont="1" applyFill="1" applyBorder="1"/>
    <xf numFmtId="44" fontId="14" fillId="0" borderId="9" xfId="0" applyNumberFormat="1" applyFont="1" applyBorder="1"/>
    <xf numFmtId="44" fontId="14" fillId="9" borderId="11" xfId="0" applyNumberFormat="1" applyFont="1" applyFill="1" applyBorder="1"/>
    <xf numFmtId="44" fontId="14" fillId="0" borderId="21" xfId="0" applyNumberFormat="1" applyFont="1" applyBorder="1"/>
    <xf numFmtId="44" fontId="16" fillId="4" borderId="4" xfId="1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/>
    </xf>
    <xf numFmtId="44" fontId="0" fillId="9" borderId="7" xfId="0" applyNumberFormat="1" applyFill="1" applyBorder="1"/>
    <xf numFmtId="44" fontId="0" fillId="0" borderId="9" xfId="0" applyNumberFormat="1" applyBorder="1"/>
    <xf numFmtId="44" fontId="4" fillId="14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/>
    </xf>
    <xf numFmtId="0" fontId="5" fillId="14" borderId="9" xfId="0" applyFont="1" applyFill="1" applyBorder="1" applyAlignment="1">
      <alignment horizontal="center"/>
    </xf>
    <xf numFmtId="44" fontId="5" fillId="7" borderId="6" xfId="0" applyNumberFormat="1" applyFont="1" applyFill="1" applyBorder="1" applyAlignment="1">
      <alignment horizontal="left" vertical="center"/>
    </xf>
    <xf numFmtId="0" fontId="4" fillId="12" borderId="5" xfId="0" applyFont="1" applyFill="1" applyBorder="1" applyAlignment="1">
      <alignment horizontal="center" vertical="top" wrapText="1"/>
    </xf>
    <xf numFmtId="0" fontId="7" fillId="15" borderId="7" xfId="0" applyFont="1" applyFill="1" applyBorder="1" applyAlignment="1">
      <alignment horizontal="left"/>
    </xf>
    <xf numFmtId="0" fontId="9" fillId="11" borderId="0" xfId="0" applyFont="1" applyFill="1" applyAlignment="1">
      <alignment horizontal="center"/>
    </xf>
    <xf numFmtId="0" fontId="4" fillId="12" borderId="19" xfId="0" applyFont="1" applyFill="1" applyBorder="1" applyAlignment="1">
      <alignment horizontal="center" vertical="center" wrapText="1"/>
    </xf>
    <xf numFmtId="0" fontId="4" fillId="12" borderId="2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/>
    </xf>
    <xf numFmtId="0" fontId="15" fillId="4" borderId="16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 wrapText="1"/>
    </xf>
    <xf numFmtId="0" fontId="16" fillId="4" borderId="23" xfId="0" applyFont="1" applyFill="1" applyBorder="1" applyAlignment="1">
      <alignment horizontal="center" wrapText="1"/>
    </xf>
    <xf numFmtId="0" fontId="8" fillId="14" borderId="2" xfId="0" applyFont="1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5" fillId="14" borderId="22" xfId="0" applyFont="1" applyFill="1" applyBorder="1" applyAlignment="1">
      <alignment horizontal="center" vertical="center"/>
    </xf>
    <xf numFmtId="0" fontId="5" fillId="14" borderId="23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pane xSplit="1" ySplit="2" topLeftCell="H15" activePane="bottomRight" state="frozen"/>
      <selection pane="topRight" activeCell="B1" sqref="B1"/>
      <selection pane="bottomLeft" activeCell="A3" sqref="A3"/>
      <selection pane="bottomRight" activeCell="A39" sqref="A3:A39"/>
    </sheetView>
  </sheetViews>
  <sheetFormatPr defaultRowHeight="15" x14ac:dyDescent="0.25"/>
  <cols>
    <col min="1" max="1" width="31.42578125" customWidth="1"/>
    <col min="2" max="2" width="7.7109375" customWidth="1"/>
    <col min="3" max="3" width="13.7109375" customWidth="1"/>
    <col min="4" max="4" width="7.7109375" customWidth="1"/>
    <col min="5" max="5" width="13.7109375" customWidth="1"/>
    <col min="6" max="6" width="7.7109375" customWidth="1"/>
    <col min="7" max="7" width="13.7109375" customWidth="1"/>
    <col min="8" max="8" width="7.7109375" customWidth="1"/>
    <col min="9" max="9" width="13.7109375" customWidth="1"/>
    <col min="10" max="10" width="7.7109375" customWidth="1"/>
    <col min="11" max="11" width="13.7109375" customWidth="1"/>
    <col min="12" max="12" width="7.7109375" customWidth="1"/>
    <col min="13" max="13" width="13.7109375" customWidth="1"/>
    <col min="14" max="14" width="7.7109375" customWidth="1"/>
    <col min="15" max="15" width="13.7109375" customWidth="1"/>
    <col min="16" max="16" width="7.7109375" customWidth="1"/>
    <col min="17" max="17" width="13.7109375" customWidth="1"/>
    <col min="18" max="18" width="11.42578125" customWidth="1"/>
    <col min="19" max="19" width="24.85546875" customWidth="1"/>
  </cols>
  <sheetData>
    <row r="1" spans="1:19" ht="34.5" thickBot="1" x14ac:dyDescent="0.3">
      <c r="A1" s="1"/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38.25" x14ac:dyDescent="0.25">
      <c r="A2" s="25" t="s">
        <v>1</v>
      </c>
      <c r="B2" s="26" t="s">
        <v>2</v>
      </c>
      <c r="C2" s="27" t="s">
        <v>3</v>
      </c>
      <c r="D2" s="26" t="s">
        <v>2</v>
      </c>
      <c r="E2" s="28" t="s">
        <v>4</v>
      </c>
      <c r="F2" s="26" t="s">
        <v>5</v>
      </c>
      <c r="G2" s="28" t="s">
        <v>6</v>
      </c>
      <c r="H2" s="26" t="s">
        <v>2</v>
      </c>
      <c r="I2" s="28" t="s">
        <v>7</v>
      </c>
      <c r="J2" s="29" t="s">
        <v>2</v>
      </c>
      <c r="K2" s="29" t="s">
        <v>8</v>
      </c>
      <c r="L2" s="29" t="s">
        <v>2</v>
      </c>
      <c r="M2" s="29" t="s">
        <v>9</v>
      </c>
      <c r="N2" s="29" t="s">
        <v>2</v>
      </c>
      <c r="O2" s="29" t="s">
        <v>10</v>
      </c>
      <c r="P2" s="30" t="s">
        <v>11</v>
      </c>
      <c r="Q2" s="30" t="s">
        <v>12</v>
      </c>
      <c r="R2" s="31" t="s">
        <v>13</v>
      </c>
      <c r="S2" s="32" t="s">
        <v>14</v>
      </c>
    </row>
    <row r="3" spans="1:19" x14ac:dyDescent="0.25">
      <c r="A3" s="3" t="s">
        <v>16</v>
      </c>
      <c r="B3" s="4">
        <v>624</v>
      </c>
      <c r="C3" s="33">
        <v>35125.72</v>
      </c>
      <c r="D3" s="4">
        <v>0</v>
      </c>
      <c r="E3" s="33">
        <v>0</v>
      </c>
      <c r="F3" s="4">
        <v>0</v>
      </c>
      <c r="G3" s="34">
        <v>0</v>
      </c>
      <c r="H3" s="4">
        <v>0</v>
      </c>
      <c r="I3" s="34">
        <v>0</v>
      </c>
      <c r="J3" s="6">
        <v>0</v>
      </c>
      <c r="K3" s="35">
        <v>0</v>
      </c>
      <c r="L3" s="6">
        <v>0</v>
      </c>
      <c r="M3" s="35">
        <v>0</v>
      </c>
      <c r="N3" s="6">
        <v>0</v>
      </c>
      <c r="O3" s="35">
        <v>0</v>
      </c>
      <c r="P3" s="7">
        <v>2931</v>
      </c>
      <c r="Q3" s="33">
        <v>126030.65</v>
      </c>
      <c r="R3" s="36">
        <f t="shared" ref="R3:R39" si="0">SUM(P3,N3,L3,J3,H3,F3,D3,B3)</f>
        <v>3555</v>
      </c>
      <c r="S3" s="37">
        <f t="shared" ref="S3:S39" si="1">SUM(Q3,O3,M3,K3,I3,G3,E3,C3)</f>
        <v>161156.37</v>
      </c>
    </row>
    <row r="4" spans="1:19" x14ac:dyDescent="0.25">
      <c r="A4" s="3" t="s">
        <v>31</v>
      </c>
      <c r="B4" s="4">
        <v>1215</v>
      </c>
      <c r="C4" s="33">
        <v>65428.52</v>
      </c>
      <c r="D4" s="4">
        <v>0</v>
      </c>
      <c r="E4" s="33">
        <v>0</v>
      </c>
      <c r="F4" s="4">
        <v>9</v>
      </c>
      <c r="G4" s="34">
        <v>327.72</v>
      </c>
      <c r="H4" s="4">
        <v>0</v>
      </c>
      <c r="I4" s="34">
        <v>0</v>
      </c>
      <c r="J4" s="6">
        <v>0</v>
      </c>
      <c r="K4" s="35">
        <v>0</v>
      </c>
      <c r="L4" s="6">
        <v>0</v>
      </c>
      <c r="M4" s="35">
        <v>0</v>
      </c>
      <c r="N4" s="6">
        <v>0</v>
      </c>
      <c r="O4" s="35">
        <v>0</v>
      </c>
      <c r="P4" s="7">
        <v>1203</v>
      </c>
      <c r="Q4" s="33">
        <v>58144.639999999999</v>
      </c>
      <c r="R4" s="36">
        <f t="shared" si="0"/>
        <v>2427</v>
      </c>
      <c r="S4" s="37">
        <f t="shared" si="1"/>
        <v>123900.88</v>
      </c>
    </row>
    <row r="5" spans="1:19" x14ac:dyDescent="0.25">
      <c r="A5" s="17" t="s">
        <v>45</v>
      </c>
      <c r="B5" s="4">
        <v>187</v>
      </c>
      <c r="C5" s="33">
        <v>9637.2999999999993</v>
      </c>
      <c r="D5" s="4">
        <v>0</v>
      </c>
      <c r="E5" s="33">
        <v>0</v>
      </c>
      <c r="F5" s="4">
        <v>0</v>
      </c>
      <c r="G5" s="34">
        <v>0</v>
      </c>
      <c r="H5" s="4">
        <v>0</v>
      </c>
      <c r="I5" s="34">
        <v>0</v>
      </c>
      <c r="J5" s="14">
        <v>111</v>
      </c>
      <c r="K5" s="35">
        <v>3492.2</v>
      </c>
      <c r="L5" s="6">
        <v>0</v>
      </c>
      <c r="M5" s="35">
        <v>0</v>
      </c>
      <c r="N5" s="6">
        <v>0</v>
      </c>
      <c r="O5" s="35">
        <v>0</v>
      </c>
      <c r="P5" s="7">
        <v>106</v>
      </c>
      <c r="Q5" s="33">
        <v>4147.8</v>
      </c>
      <c r="R5" s="36">
        <f t="shared" si="0"/>
        <v>404</v>
      </c>
      <c r="S5" s="37">
        <f t="shared" si="1"/>
        <v>17277.3</v>
      </c>
    </row>
    <row r="6" spans="1:19" x14ac:dyDescent="0.25">
      <c r="A6" s="3" t="s">
        <v>39</v>
      </c>
      <c r="B6" s="4">
        <v>1345</v>
      </c>
      <c r="C6" s="33">
        <v>57823.82</v>
      </c>
      <c r="D6" s="4">
        <v>17</v>
      </c>
      <c r="E6" s="33">
        <v>835.06</v>
      </c>
      <c r="F6" s="4">
        <v>106</v>
      </c>
      <c r="G6" s="34">
        <v>6441.46</v>
      </c>
      <c r="H6" s="4">
        <v>10</v>
      </c>
      <c r="I6" s="34">
        <v>372.33</v>
      </c>
      <c r="J6" s="6">
        <v>0</v>
      </c>
      <c r="K6" s="35">
        <v>0</v>
      </c>
      <c r="L6" s="6">
        <v>0</v>
      </c>
      <c r="M6" s="35">
        <v>0</v>
      </c>
      <c r="N6" s="6">
        <v>0</v>
      </c>
      <c r="O6" s="35">
        <v>0</v>
      </c>
      <c r="P6" s="7">
        <v>982</v>
      </c>
      <c r="Q6" s="33">
        <v>29172.21</v>
      </c>
      <c r="R6" s="36">
        <f t="shared" si="0"/>
        <v>2460</v>
      </c>
      <c r="S6" s="37">
        <f t="shared" si="1"/>
        <v>94644.88</v>
      </c>
    </row>
    <row r="7" spans="1:19" x14ac:dyDescent="0.25">
      <c r="A7" s="16" t="s">
        <v>35</v>
      </c>
      <c r="B7" s="4">
        <v>723</v>
      </c>
      <c r="C7" s="33">
        <v>36880.269999999997</v>
      </c>
      <c r="D7" s="4">
        <v>9</v>
      </c>
      <c r="E7" s="33">
        <v>405.78</v>
      </c>
      <c r="F7" s="4">
        <v>16</v>
      </c>
      <c r="G7" s="34">
        <v>799.8</v>
      </c>
      <c r="H7" s="4">
        <v>43</v>
      </c>
      <c r="I7" s="34">
        <v>1954.22</v>
      </c>
      <c r="J7" s="14">
        <v>67</v>
      </c>
      <c r="K7" s="35">
        <v>2872.99</v>
      </c>
      <c r="L7" s="6">
        <v>0</v>
      </c>
      <c r="M7" s="35">
        <v>0</v>
      </c>
      <c r="N7" s="6">
        <v>0</v>
      </c>
      <c r="O7" s="35">
        <v>0</v>
      </c>
      <c r="P7" s="7">
        <v>127</v>
      </c>
      <c r="Q7" s="33">
        <v>4899.2700000000004</v>
      </c>
      <c r="R7" s="36">
        <f t="shared" si="0"/>
        <v>985</v>
      </c>
      <c r="S7" s="37">
        <f t="shared" si="1"/>
        <v>47812.329999999994</v>
      </c>
    </row>
    <row r="8" spans="1:19" x14ac:dyDescent="0.25">
      <c r="A8" s="13" t="s">
        <v>21</v>
      </c>
      <c r="B8" s="4">
        <v>1153</v>
      </c>
      <c r="C8" s="33">
        <v>54910.61</v>
      </c>
      <c r="D8" s="4">
        <v>23</v>
      </c>
      <c r="E8" s="33">
        <v>1154.3900000000001</v>
      </c>
      <c r="F8" s="4">
        <v>63</v>
      </c>
      <c r="G8" s="34">
        <v>3314.27</v>
      </c>
      <c r="H8" s="4">
        <v>0</v>
      </c>
      <c r="I8" s="34">
        <v>0</v>
      </c>
      <c r="J8" s="14">
        <v>311</v>
      </c>
      <c r="K8" s="35">
        <v>13199.86</v>
      </c>
      <c r="L8" s="14">
        <v>44</v>
      </c>
      <c r="M8" s="35">
        <v>1840.56</v>
      </c>
      <c r="N8" s="14">
        <v>47</v>
      </c>
      <c r="O8" s="35">
        <v>1804.48</v>
      </c>
      <c r="P8" s="7">
        <v>361</v>
      </c>
      <c r="Q8" s="33">
        <v>15734.64</v>
      </c>
      <c r="R8" s="36">
        <f t="shared" si="0"/>
        <v>2002</v>
      </c>
      <c r="S8" s="37">
        <f t="shared" si="1"/>
        <v>91958.81</v>
      </c>
    </row>
    <row r="9" spans="1:19" x14ac:dyDescent="0.25">
      <c r="A9" s="13" t="s">
        <v>46</v>
      </c>
      <c r="B9" s="4">
        <v>378</v>
      </c>
      <c r="C9" s="42">
        <v>18794.23</v>
      </c>
      <c r="D9" s="18">
        <v>10</v>
      </c>
      <c r="E9" s="43">
        <v>347.81</v>
      </c>
      <c r="F9" s="18">
        <v>40</v>
      </c>
      <c r="G9" s="42">
        <v>1406.5</v>
      </c>
      <c r="H9" s="4">
        <v>0</v>
      </c>
      <c r="I9" s="34">
        <v>0</v>
      </c>
      <c r="J9" s="6">
        <v>0</v>
      </c>
      <c r="K9" s="35">
        <v>0</v>
      </c>
      <c r="L9" s="6">
        <v>0</v>
      </c>
      <c r="M9" s="35">
        <v>0</v>
      </c>
      <c r="N9" s="6">
        <v>0</v>
      </c>
      <c r="O9" s="35">
        <v>0</v>
      </c>
      <c r="P9" s="15">
        <v>0</v>
      </c>
      <c r="Q9" s="42">
        <v>0</v>
      </c>
      <c r="R9" s="36">
        <f t="shared" si="0"/>
        <v>428</v>
      </c>
      <c r="S9" s="37">
        <f t="shared" si="1"/>
        <v>20548.54</v>
      </c>
    </row>
    <row r="10" spans="1:19" x14ac:dyDescent="0.25">
      <c r="A10" s="3" t="s">
        <v>38</v>
      </c>
      <c r="B10" s="4">
        <v>11</v>
      </c>
      <c r="C10" s="42">
        <v>585</v>
      </c>
      <c r="D10" s="18">
        <v>0</v>
      </c>
      <c r="E10" s="43">
        <v>0</v>
      </c>
      <c r="F10" s="18">
        <v>0</v>
      </c>
      <c r="G10" s="42">
        <v>0</v>
      </c>
      <c r="H10" s="4">
        <v>0</v>
      </c>
      <c r="I10" s="34">
        <v>0</v>
      </c>
      <c r="J10" s="6">
        <v>0</v>
      </c>
      <c r="K10" s="35">
        <v>0</v>
      </c>
      <c r="L10" s="6">
        <v>0</v>
      </c>
      <c r="M10" s="35">
        <v>0</v>
      </c>
      <c r="N10" s="6">
        <v>0</v>
      </c>
      <c r="O10" s="35">
        <v>0</v>
      </c>
      <c r="P10" s="7">
        <v>1566</v>
      </c>
      <c r="Q10" s="33">
        <v>62153.33</v>
      </c>
      <c r="R10" s="36">
        <f t="shared" si="0"/>
        <v>1577</v>
      </c>
      <c r="S10" s="37">
        <f t="shared" si="1"/>
        <v>62738.33</v>
      </c>
    </row>
    <row r="11" spans="1:19" x14ac:dyDescent="0.25">
      <c r="A11" s="20" t="s">
        <v>48</v>
      </c>
      <c r="B11" s="4">
        <v>108</v>
      </c>
      <c r="C11" s="33">
        <v>4206.04</v>
      </c>
      <c r="D11" s="4">
        <v>0</v>
      </c>
      <c r="E11" s="33">
        <v>0</v>
      </c>
      <c r="F11" s="4">
        <v>0</v>
      </c>
      <c r="G11" s="34">
        <v>0</v>
      </c>
      <c r="H11" s="4">
        <v>0</v>
      </c>
      <c r="I11" s="34">
        <v>0</v>
      </c>
      <c r="J11" s="6">
        <v>0</v>
      </c>
      <c r="K11" s="35">
        <v>0</v>
      </c>
      <c r="L11" s="6">
        <v>0</v>
      </c>
      <c r="M11" s="35">
        <v>0</v>
      </c>
      <c r="N11" s="6">
        <v>0</v>
      </c>
      <c r="O11" s="35">
        <v>0</v>
      </c>
      <c r="P11" s="21">
        <v>368</v>
      </c>
      <c r="Q11" s="42">
        <v>12694.43</v>
      </c>
      <c r="R11" s="36">
        <f t="shared" si="0"/>
        <v>476</v>
      </c>
      <c r="S11" s="37">
        <f t="shared" si="1"/>
        <v>16900.47</v>
      </c>
    </row>
    <row r="12" spans="1:19" x14ac:dyDescent="0.25">
      <c r="A12" s="19" t="s">
        <v>47</v>
      </c>
      <c r="B12" s="4">
        <v>55</v>
      </c>
      <c r="C12" s="33">
        <v>2151.27</v>
      </c>
      <c r="D12" s="4">
        <v>0</v>
      </c>
      <c r="E12" s="33">
        <v>0</v>
      </c>
      <c r="F12" s="4">
        <v>0</v>
      </c>
      <c r="G12" s="34">
        <v>0</v>
      </c>
      <c r="H12" s="4">
        <v>0</v>
      </c>
      <c r="I12" s="34">
        <v>0</v>
      </c>
      <c r="J12" s="6">
        <v>5</v>
      </c>
      <c r="K12" s="35">
        <v>153</v>
      </c>
      <c r="L12" s="6">
        <v>0</v>
      </c>
      <c r="M12" s="35">
        <v>0</v>
      </c>
      <c r="N12" s="6">
        <v>0</v>
      </c>
      <c r="O12" s="35">
        <v>0</v>
      </c>
      <c r="P12" s="15">
        <v>373</v>
      </c>
      <c r="Q12" s="42">
        <v>14726.47</v>
      </c>
      <c r="R12" s="36">
        <f t="shared" si="0"/>
        <v>433</v>
      </c>
      <c r="S12" s="37">
        <f t="shared" si="1"/>
        <v>17030.739999999998</v>
      </c>
    </row>
    <row r="13" spans="1:19" x14ac:dyDescent="0.25">
      <c r="A13" s="3" t="s">
        <v>50</v>
      </c>
      <c r="B13" s="4">
        <v>658</v>
      </c>
      <c r="C13" s="33">
        <v>27934.49</v>
      </c>
      <c r="D13" s="4">
        <v>0</v>
      </c>
      <c r="E13" s="33">
        <v>0</v>
      </c>
      <c r="F13" s="4">
        <v>0</v>
      </c>
      <c r="G13" s="34">
        <v>0</v>
      </c>
      <c r="H13" s="4">
        <v>0</v>
      </c>
      <c r="I13" s="34">
        <v>0</v>
      </c>
      <c r="J13" s="6">
        <v>0</v>
      </c>
      <c r="K13" s="35">
        <v>0</v>
      </c>
      <c r="L13" s="6">
        <v>0</v>
      </c>
      <c r="M13" s="35">
        <v>0</v>
      </c>
      <c r="N13" s="6">
        <v>0</v>
      </c>
      <c r="O13" s="35">
        <v>0</v>
      </c>
      <c r="P13" s="7">
        <v>720</v>
      </c>
      <c r="Q13" s="33">
        <v>104745.39</v>
      </c>
      <c r="R13" s="36">
        <f t="shared" si="0"/>
        <v>1378</v>
      </c>
      <c r="S13" s="37">
        <f t="shared" si="1"/>
        <v>132679.88</v>
      </c>
    </row>
    <row r="14" spans="1:19" x14ac:dyDescent="0.25">
      <c r="A14" s="3" t="s">
        <v>23</v>
      </c>
      <c r="B14" s="4">
        <v>899</v>
      </c>
      <c r="C14" s="33">
        <v>62952.4</v>
      </c>
      <c r="D14" s="4">
        <v>0</v>
      </c>
      <c r="E14" s="33">
        <v>0</v>
      </c>
      <c r="F14" s="4">
        <v>0</v>
      </c>
      <c r="G14" s="34">
        <v>0</v>
      </c>
      <c r="H14" s="4">
        <v>0</v>
      </c>
      <c r="I14" s="34">
        <v>0</v>
      </c>
      <c r="J14" s="6">
        <v>0</v>
      </c>
      <c r="K14" s="35">
        <v>0</v>
      </c>
      <c r="L14" s="6">
        <v>0</v>
      </c>
      <c r="M14" s="35">
        <v>0</v>
      </c>
      <c r="N14" s="6">
        <v>0</v>
      </c>
      <c r="O14" s="35">
        <v>0</v>
      </c>
      <c r="P14" s="7">
        <v>3414</v>
      </c>
      <c r="Q14" s="33">
        <v>147614.03</v>
      </c>
      <c r="R14" s="36">
        <f t="shared" si="0"/>
        <v>4313</v>
      </c>
      <c r="S14" s="37">
        <f t="shared" si="1"/>
        <v>210566.43</v>
      </c>
    </row>
    <row r="15" spans="1:19" x14ac:dyDescent="0.25">
      <c r="A15" s="8" t="s">
        <v>17</v>
      </c>
      <c r="B15" s="4">
        <v>621</v>
      </c>
      <c r="C15" s="33">
        <v>28167.119999999999</v>
      </c>
      <c r="D15" s="4">
        <v>0</v>
      </c>
      <c r="E15" s="33">
        <v>0</v>
      </c>
      <c r="F15" s="4">
        <v>0</v>
      </c>
      <c r="G15" s="34">
        <v>0</v>
      </c>
      <c r="H15" s="4">
        <v>0</v>
      </c>
      <c r="I15" s="34">
        <v>0</v>
      </c>
      <c r="J15" s="6">
        <v>0</v>
      </c>
      <c r="K15" s="35">
        <v>0</v>
      </c>
      <c r="L15" s="6">
        <v>0</v>
      </c>
      <c r="M15" s="35">
        <v>0</v>
      </c>
      <c r="N15" s="6">
        <v>0</v>
      </c>
      <c r="O15" s="35">
        <v>0</v>
      </c>
      <c r="P15" s="7">
        <v>756</v>
      </c>
      <c r="Q15" s="33">
        <v>106325.2</v>
      </c>
      <c r="R15" s="36">
        <f t="shared" si="0"/>
        <v>1377</v>
      </c>
      <c r="S15" s="37">
        <f t="shared" si="1"/>
        <v>134492.32</v>
      </c>
    </row>
    <row r="16" spans="1:19" x14ac:dyDescent="0.25">
      <c r="A16" s="3" t="s">
        <v>27</v>
      </c>
      <c r="B16" s="4">
        <v>684</v>
      </c>
      <c r="C16" s="33">
        <v>38872.47</v>
      </c>
      <c r="D16" s="4">
        <v>13</v>
      </c>
      <c r="E16" s="33">
        <v>492.44</v>
      </c>
      <c r="F16" s="4">
        <v>27</v>
      </c>
      <c r="G16" s="34">
        <v>1192.95</v>
      </c>
      <c r="H16" s="4">
        <v>0</v>
      </c>
      <c r="I16" s="34">
        <v>0</v>
      </c>
      <c r="J16" s="6">
        <v>0</v>
      </c>
      <c r="K16" s="35">
        <v>0</v>
      </c>
      <c r="L16" s="6">
        <v>0</v>
      </c>
      <c r="M16" s="35">
        <v>0</v>
      </c>
      <c r="N16" s="6">
        <v>0</v>
      </c>
      <c r="O16" s="35">
        <v>0</v>
      </c>
      <c r="P16" s="7">
        <v>173</v>
      </c>
      <c r="Q16" s="33">
        <v>7726.8</v>
      </c>
      <c r="R16" s="36">
        <f t="shared" si="0"/>
        <v>897</v>
      </c>
      <c r="S16" s="37">
        <f t="shared" si="1"/>
        <v>48284.66</v>
      </c>
    </row>
    <row r="17" spans="1:19" x14ac:dyDescent="0.25">
      <c r="A17" s="3" t="s">
        <v>42</v>
      </c>
      <c r="B17" s="4">
        <v>122</v>
      </c>
      <c r="C17" s="33">
        <v>6563.75</v>
      </c>
      <c r="D17" s="4">
        <v>0</v>
      </c>
      <c r="E17" s="33">
        <v>0</v>
      </c>
      <c r="F17" s="4">
        <v>52</v>
      </c>
      <c r="G17" s="34">
        <v>2705.77</v>
      </c>
      <c r="H17" s="4">
        <v>0</v>
      </c>
      <c r="I17" s="34">
        <v>0</v>
      </c>
      <c r="J17" s="6">
        <v>0</v>
      </c>
      <c r="K17" s="35">
        <v>0</v>
      </c>
      <c r="L17" s="6">
        <v>0</v>
      </c>
      <c r="M17" s="35">
        <v>0</v>
      </c>
      <c r="N17" s="6">
        <v>0</v>
      </c>
      <c r="O17" s="35">
        <v>0</v>
      </c>
      <c r="P17" s="7">
        <v>410</v>
      </c>
      <c r="Q17" s="33">
        <v>18007.45</v>
      </c>
      <c r="R17" s="36">
        <f t="shared" si="0"/>
        <v>584</v>
      </c>
      <c r="S17" s="37">
        <f t="shared" si="1"/>
        <v>27276.97</v>
      </c>
    </row>
    <row r="18" spans="1:19" x14ac:dyDescent="0.25">
      <c r="A18" s="16" t="s">
        <v>37</v>
      </c>
      <c r="B18" s="4">
        <v>232</v>
      </c>
      <c r="C18" s="33">
        <v>13060.35</v>
      </c>
      <c r="D18" s="4">
        <v>12</v>
      </c>
      <c r="E18" s="33">
        <v>537.75</v>
      </c>
      <c r="F18" s="4">
        <v>122</v>
      </c>
      <c r="G18" s="34">
        <v>7595.41</v>
      </c>
      <c r="H18" s="4">
        <v>0</v>
      </c>
      <c r="I18" s="34">
        <v>0</v>
      </c>
      <c r="J18" s="14">
        <v>28</v>
      </c>
      <c r="K18" s="35">
        <v>1696.39</v>
      </c>
      <c r="L18" s="14">
        <v>10</v>
      </c>
      <c r="M18" s="35">
        <v>344.3</v>
      </c>
      <c r="N18" s="14">
        <v>17</v>
      </c>
      <c r="O18" s="35">
        <v>772.12</v>
      </c>
      <c r="P18" s="7">
        <v>269</v>
      </c>
      <c r="Q18" s="33">
        <v>10243.5</v>
      </c>
      <c r="R18" s="36">
        <f t="shared" si="0"/>
        <v>690</v>
      </c>
      <c r="S18" s="37">
        <f t="shared" si="1"/>
        <v>34249.82</v>
      </c>
    </row>
    <row r="19" spans="1:19" x14ac:dyDescent="0.25">
      <c r="A19" s="9" t="s">
        <v>20</v>
      </c>
      <c r="B19" s="10">
        <v>951</v>
      </c>
      <c r="C19" s="38">
        <v>46281.83</v>
      </c>
      <c r="D19" s="10">
        <v>229</v>
      </c>
      <c r="E19" s="38">
        <v>8851.81</v>
      </c>
      <c r="F19" s="10">
        <v>290</v>
      </c>
      <c r="G19" s="39">
        <v>9532.58</v>
      </c>
      <c r="H19" s="4">
        <v>0</v>
      </c>
      <c r="I19" s="34">
        <v>0</v>
      </c>
      <c r="J19" s="11">
        <v>13</v>
      </c>
      <c r="K19" s="40">
        <v>634.80999999999995</v>
      </c>
      <c r="L19" s="12">
        <v>1</v>
      </c>
      <c r="M19" s="40">
        <v>8.52</v>
      </c>
      <c r="N19" s="12">
        <v>4</v>
      </c>
      <c r="O19" s="40">
        <v>134.19</v>
      </c>
      <c r="P19" s="7">
        <v>0</v>
      </c>
      <c r="Q19" s="33">
        <v>0</v>
      </c>
      <c r="R19" s="36">
        <f t="shared" si="0"/>
        <v>1488</v>
      </c>
      <c r="S19" s="37">
        <f t="shared" si="1"/>
        <v>65443.740000000005</v>
      </c>
    </row>
    <row r="20" spans="1:19" x14ac:dyDescent="0.25">
      <c r="A20" s="85" t="s">
        <v>104</v>
      </c>
      <c r="B20" s="18">
        <v>0</v>
      </c>
      <c r="C20" s="42">
        <v>0</v>
      </c>
      <c r="D20" s="18">
        <v>0</v>
      </c>
      <c r="E20" s="43">
        <v>0</v>
      </c>
      <c r="F20" s="18">
        <v>0</v>
      </c>
      <c r="G20" s="42">
        <v>0</v>
      </c>
      <c r="H20" s="4">
        <v>0</v>
      </c>
      <c r="I20" s="34">
        <v>0</v>
      </c>
      <c r="J20" s="6">
        <v>0</v>
      </c>
      <c r="K20" s="35">
        <v>0</v>
      </c>
      <c r="L20" s="6">
        <v>0</v>
      </c>
      <c r="M20" s="35">
        <v>0</v>
      </c>
      <c r="N20" s="6">
        <v>0</v>
      </c>
      <c r="O20" s="35">
        <v>0</v>
      </c>
      <c r="P20" s="7">
        <v>0</v>
      </c>
      <c r="Q20" s="33">
        <v>0</v>
      </c>
      <c r="R20" s="36">
        <v>0</v>
      </c>
      <c r="S20" s="37">
        <v>0</v>
      </c>
    </row>
    <row r="21" spans="1:19" x14ac:dyDescent="0.25">
      <c r="A21" s="8" t="s">
        <v>29</v>
      </c>
      <c r="B21" s="4">
        <v>134</v>
      </c>
      <c r="C21" s="33">
        <v>6006.33</v>
      </c>
      <c r="D21" s="4">
        <v>0</v>
      </c>
      <c r="E21" s="33">
        <v>0</v>
      </c>
      <c r="F21" s="4">
        <v>13</v>
      </c>
      <c r="G21" s="34">
        <v>569.33000000000004</v>
      </c>
      <c r="H21" s="4">
        <v>0</v>
      </c>
      <c r="I21" s="34">
        <v>0</v>
      </c>
      <c r="J21" s="6">
        <v>0</v>
      </c>
      <c r="K21" s="35">
        <v>0</v>
      </c>
      <c r="L21" s="6">
        <v>0</v>
      </c>
      <c r="M21" s="35">
        <v>0</v>
      </c>
      <c r="N21" s="6">
        <v>0</v>
      </c>
      <c r="O21" s="35">
        <v>0</v>
      </c>
      <c r="P21" s="7">
        <v>1726</v>
      </c>
      <c r="Q21" s="33">
        <v>72015.16</v>
      </c>
      <c r="R21" s="36">
        <f t="shared" si="0"/>
        <v>1873</v>
      </c>
      <c r="S21" s="37">
        <f t="shared" si="1"/>
        <v>78590.820000000007</v>
      </c>
    </row>
    <row r="22" spans="1:19" x14ac:dyDescent="0.25">
      <c r="A22" s="22" t="s">
        <v>44</v>
      </c>
      <c r="B22" s="18">
        <v>0</v>
      </c>
      <c r="C22" s="42">
        <v>0</v>
      </c>
      <c r="D22" s="18">
        <v>0</v>
      </c>
      <c r="E22" s="43">
        <v>0</v>
      </c>
      <c r="F22" s="18">
        <v>0</v>
      </c>
      <c r="G22" s="42">
        <v>0</v>
      </c>
      <c r="H22" s="4">
        <v>0</v>
      </c>
      <c r="I22" s="34">
        <v>0</v>
      </c>
      <c r="J22" s="6">
        <v>0</v>
      </c>
      <c r="K22" s="35">
        <v>0</v>
      </c>
      <c r="L22" s="6">
        <v>0</v>
      </c>
      <c r="M22" s="35">
        <v>0</v>
      </c>
      <c r="N22" s="6">
        <v>0</v>
      </c>
      <c r="O22" s="35">
        <v>0</v>
      </c>
      <c r="P22" s="7">
        <v>1246</v>
      </c>
      <c r="Q22" s="33">
        <v>29960.12</v>
      </c>
      <c r="R22" s="36">
        <f t="shared" si="0"/>
        <v>1246</v>
      </c>
      <c r="S22" s="37">
        <f t="shared" si="1"/>
        <v>29960.12</v>
      </c>
    </row>
    <row r="23" spans="1:19" x14ac:dyDescent="0.25">
      <c r="A23" s="8" t="s">
        <v>41</v>
      </c>
      <c r="B23" s="4">
        <v>272</v>
      </c>
      <c r="C23" s="33">
        <v>17862.75</v>
      </c>
      <c r="D23" s="4">
        <v>7</v>
      </c>
      <c r="E23" s="41">
        <v>422.17</v>
      </c>
      <c r="F23" s="4">
        <v>21</v>
      </c>
      <c r="G23" s="34">
        <v>1548.69</v>
      </c>
      <c r="H23" s="4">
        <v>0</v>
      </c>
      <c r="I23" s="34">
        <v>0</v>
      </c>
      <c r="J23" s="14">
        <v>45</v>
      </c>
      <c r="K23" s="35">
        <v>3224.08</v>
      </c>
      <c r="L23" s="14">
        <v>4</v>
      </c>
      <c r="M23" s="35">
        <v>88.12</v>
      </c>
      <c r="N23" s="14">
        <v>0</v>
      </c>
      <c r="O23" s="35">
        <v>0</v>
      </c>
      <c r="P23" s="7">
        <v>372</v>
      </c>
      <c r="Q23" s="33">
        <v>13020.48</v>
      </c>
      <c r="R23" s="36">
        <f t="shared" si="0"/>
        <v>721</v>
      </c>
      <c r="S23" s="37">
        <f t="shared" si="1"/>
        <v>36166.289999999994</v>
      </c>
    </row>
    <row r="24" spans="1:19" x14ac:dyDescent="0.25">
      <c r="A24" s="8" t="s">
        <v>28</v>
      </c>
      <c r="B24" s="4">
        <v>635</v>
      </c>
      <c r="C24" s="33">
        <v>35956.53</v>
      </c>
      <c r="D24" s="4">
        <v>0</v>
      </c>
      <c r="E24" s="33">
        <v>0</v>
      </c>
      <c r="F24" s="4">
        <v>29</v>
      </c>
      <c r="G24" s="34">
        <v>1873.87</v>
      </c>
      <c r="H24" s="4">
        <v>0</v>
      </c>
      <c r="I24" s="34">
        <v>0</v>
      </c>
      <c r="J24" s="14">
        <v>129</v>
      </c>
      <c r="K24" s="35">
        <v>4639.0600000000004</v>
      </c>
      <c r="L24" s="6">
        <v>0</v>
      </c>
      <c r="M24" s="35">
        <v>0</v>
      </c>
      <c r="N24" s="6">
        <v>0</v>
      </c>
      <c r="O24" s="35">
        <v>0</v>
      </c>
      <c r="P24" s="7">
        <v>361</v>
      </c>
      <c r="Q24" s="33">
        <v>18663.61</v>
      </c>
      <c r="R24" s="36">
        <f t="shared" si="0"/>
        <v>1154</v>
      </c>
      <c r="S24" s="37">
        <f t="shared" si="1"/>
        <v>61133.07</v>
      </c>
    </row>
    <row r="25" spans="1:19" x14ac:dyDescent="0.25">
      <c r="A25" s="13" t="s">
        <v>43</v>
      </c>
      <c r="B25" s="4">
        <v>65</v>
      </c>
      <c r="C25" s="33">
        <v>3800.33</v>
      </c>
      <c r="D25" s="4">
        <v>47</v>
      </c>
      <c r="E25" s="33">
        <v>1727.45</v>
      </c>
      <c r="F25" s="4">
        <v>69</v>
      </c>
      <c r="G25" s="34">
        <v>3435.33</v>
      </c>
      <c r="H25" s="4">
        <v>0</v>
      </c>
      <c r="I25" s="34">
        <v>0</v>
      </c>
      <c r="J25" s="6">
        <v>0</v>
      </c>
      <c r="K25" s="35">
        <v>0</v>
      </c>
      <c r="L25" s="6">
        <v>0</v>
      </c>
      <c r="M25" s="35">
        <v>0</v>
      </c>
      <c r="N25" s="6">
        <v>0</v>
      </c>
      <c r="O25" s="35">
        <v>0</v>
      </c>
      <c r="P25" s="7">
        <v>485</v>
      </c>
      <c r="Q25" s="33">
        <v>13255.23</v>
      </c>
      <c r="R25" s="36">
        <f t="shared" si="0"/>
        <v>666</v>
      </c>
      <c r="S25" s="37">
        <f t="shared" si="1"/>
        <v>22218.339999999997</v>
      </c>
    </row>
    <row r="26" spans="1:19" x14ac:dyDescent="0.25">
      <c r="A26" s="3" t="s">
        <v>36</v>
      </c>
      <c r="B26" s="4">
        <v>122</v>
      </c>
      <c r="C26" s="34">
        <v>5153.8100000000004</v>
      </c>
      <c r="D26" s="4">
        <v>0</v>
      </c>
      <c r="E26" s="33">
        <v>0</v>
      </c>
      <c r="F26" s="4">
        <v>0</v>
      </c>
      <c r="G26" s="34">
        <v>0</v>
      </c>
      <c r="H26" s="4">
        <v>0</v>
      </c>
      <c r="I26" s="34">
        <v>0</v>
      </c>
      <c r="J26" s="6">
        <v>0</v>
      </c>
      <c r="K26" s="35">
        <v>0</v>
      </c>
      <c r="L26" s="6">
        <v>0</v>
      </c>
      <c r="M26" s="35">
        <v>0</v>
      </c>
      <c r="N26" s="6">
        <v>0</v>
      </c>
      <c r="O26" s="35">
        <v>0</v>
      </c>
      <c r="P26" s="7">
        <v>1126</v>
      </c>
      <c r="Q26" s="33">
        <v>52041.43</v>
      </c>
      <c r="R26" s="36">
        <f t="shared" si="0"/>
        <v>1248</v>
      </c>
      <c r="S26" s="37">
        <f t="shared" si="1"/>
        <v>57195.24</v>
      </c>
    </row>
    <row r="27" spans="1:19" x14ac:dyDescent="0.25">
      <c r="A27" s="3" t="s">
        <v>19</v>
      </c>
      <c r="B27" s="4">
        <v>570</v>
      </c>
      <c r="C27" s="33">
        <v>25594.6</v>
      </c>
      <c r="D27" s="4">
        <v>0</v>
      </c>
      <c r="E27" s="33">
        <v>0</v>
      </c>
      <c r="F27" s="4">
        <v>0</v>
      </c>
      <c r="G27" s="34">
        <v>0</v>
      </c>
      <c r="H27" s="4">
        <v>0</v>
      </c>
      <c r="I27" s="34">
        <v>0</v>
      </c>
      <c r="J27" s="6">
        <v>0</v>
      </c>
      <c r="K27" s="35">
        <v>0</v>
      </c>
      <c r="L27" s="6">
        <v>0</v>
      </c>
      <c r="M27" s="35">
        <v>0</v>
      </c>
      <c r="N27" s="6">
        <v>0</v>
      </c>
      <c r="O27" s="35">
        <v>0</v>
      </c>
      <c r="P27" s="7">
        <v>1178</v>
      </c>
      <c r="Q27" s="33">
        <v>54712.800000000003</v>
      </c>
      <c r="R27" s="36">
        <f t="shared" si="0"/>
        <v>1748</v>
      </c>
      <c r="S27" s="37">
        <f t="shared" si="1"/>
        <v>80307.399999999994</v>
      </c>
    </row>
    <row r="28" spans="1:19" x14ac:dyDescent="0.25">
      <c r="A28" s="3" t="s">
        <v>26</v>
      </c>
      <c r="B28" s="4">
        <v>410</v>
      </c>
      <c r="C28" s="33">
        <v>18205.25</v>
      </c>
      <c r="D28" s="4">
        <v>0</v>
      </c>
      <c r="E28" s="33">
        <v>0</v>
      </c>
      <c r="F28" s="4">
        <v>0</v>
      </c>
      <c r="G28" s="34">
        <v>0</v>
      </c>
      <c r="H28" s="4">
        <v>0</v>
      </c>
      <c r="I28" s="34">
        <v>0</v>
      </c>
      <c r="J28" s="6">
        <v>0</v>
      </c>
      <c r="K28" s="35">
        <v>0</v>
      </c>
      <c r="L28" s="6">
        <v>0</v>
      </c>
      <c r="M28" s="35">
        <v>0</v>
      </c>
      <c r="N28" s="6">
        <v>0</v>
      </c>
      <c r="O28" s="35">
        <v>0</v>
      </c>
      <c r="P28" s="7">
        <v>790</v>
      </c>
      <c r="Q28" s="33">
        <v>35535.57</v>
      </c>
      <c r="R28" s="36">
        <f t="shared" si="0"/>
        <v>1200</v>
      </c>
      <c r="S28" s="37">
        <f t="shared" si="1"/>
        <v>53740.82</v>
      </c>
    </row>
    <row r="29" spans="1:19" x14ac:dyDescent="0.25">
      <c r="A29" s="3" t="s">
        <v>33</v>
      </c>
      <c r="B29" s="4">
        <v>130</v>
      </c>
      <c r="C29" s="33">
        <v>7436.68</v>
      </c>
      <c r="D29" s="4">
        <v>0</v>
      </c>
      <c r="E29" s="33">
        <v>0</v>
      </c>
      <c r="F29" s="4">
        <v>0</v>
      </c>
      <c r="G29" s="34">
        <v>0</v>
      </c>
      <c r="H29" s="4">
        <v>0</v>
      </c>
      <c r="I29" s="34">
        <v>0</v>
      </c>
      <c r="J29" s="6">
        <v>0</v>
      </c>
      <c r="K29" s="35">
        <v>0</v>
      </c>
      <c r="L29" s="6">
        <v>0</v>
      </c>
      <c r="M29" s="35">
        <v>0</v>
      </c>
      <c r="N29" s="6">
        <v>0</v>
      </c>
      <c r="O29" s="35">
        <v>0</v>
      </c>
      <c r="P29" s="7">
        <v>959</v>
      </c>
      <c r="Q29" s="33">
        <v>45441.85</v>
      </c>
      <c r="R29" s="36">
        <f t="shared" si="0"/>
        <v>1089</v>
      </c>
      <c r="S29" s="37">
        <f t="shared" si="1"/>
        <v>52878.53</v>
      </c>
    </row>
    <row r="30" spans="1:19" x14ac:dyDescent="0.25">
      <c r="A30" s="3" t="s">
        <v>25</v>
      </c>
      <c r="B30" s="4">
        <v>663</v>
      </c>
      <c r="C30" s="33">
        <v>44226.36</v>
      </c>
      <c r="D30" s="4">
        <v>0</v>
      </c>
      <c r="E30" s="33">
        <v>0</v>
      </c>
      <c r="F30" s="4">
        <v>37</v>
      </c>
      <c r="G30" s="34">
        <v>1906.54</v>
      </c>
      <c r="H30" s="4">
        <v>0</v>
      </c>
      <c r="I30" s="34">
        <v>0</v>
      </c>
      <c r="J30" s="6">
        <v>0</v>
      </c>
      <c r="K30" s="35">
        <v>0</v>
      </c>
      <c r="L30" s="6">
        <v>0</v>
      </c>
      <c r="M30" s="35">
        <v>0</v>
      </c>
      <c r="N30" s="6">
        <v>0</v>
      </c>
      <c r="O30" s="35">
        <v>0</v>
      </c>
      <c r="P30" s="7">
        <v>1543</v>
      </c>
      <c r="Q30" s="33">
        <v>71525.16</v>
      </c>
      <c r="R30" s="36">
        <f t="shared" si="0"/>
        <v>2243</v>
      </c>
      <c r="S30" s="37">
        <f t="shared" si="1"/>
        <v>117658.06</v>
      </c>
    </row>
    <row r="31" spans="1:19" x14ac:dyDescent="0.25">
      <c r="A31" s="3" t="s">
        <v>15</v>
      </c>
      <c r="B31" s="4">
        <v>523</v>
      </c>
      <c r="C31" s="33">
        <v>33146.89</v>
      </c>
      <c r="D31" s="4">
        <v>21</v>
      </c>
      <c r="E31" s="33">
        <v>861.9</v>
      </c>
      <c r="F31" s="4">
        <v>23</v>
      </c>
      <c r="G31" s="34">
        <v>1116.29</v>
      </c>
      <c r="H31" s="4">
        <v>26</v>
      </c>
      <c r="I31" s="34">
        <v>1140.52</v>
      </c>
      <c r="J31" s="6">
        <v>0</v>
      </c>
      <c r="K31" s="35">
        <v>0</v>
      </c>
      <c r="L31" s="6">
        <v>0</v>
      </c>
      <c r="M31" s="35">
        <v>0</v>
      </c>
      <c r="N31" s="6">
        <v>0</v>
      </c>
      <c r="O31" s="35">
        <v>0</v>
      </c>
      <c r="P31" s="7">
        <v>10011</v>
      </c>
      <c r="Q31" s="33">
        <v>541301.77</v>
      </c>
      <c r="R31" s="36">
        <f t="shared" si="0"/>
        <v>10604</v>
      </c>
      <c r="S31" s="37">
        <f t="shared" si="1"/>
        <v>577567.37000000011</v>
      </c>
    </row>
    <row r="32" spans="1:19" x14ac:dyDescent="0.25">
      <c r="A32" s="16" t="s">
        <v>40</v>
      </c>
      <c r="B32" s="4">
        <v>206</v>
      </c>
      <c r="C32" s="33">
        <v>12391.65</v>
      </c>
      <c r="D32" s="4">
        <v>2</v>
      </c>
      <c r="E32" s="33">
        <v>93.8</v>
      </c>
      <c r="F32" s="4">
        <v>7</v>
      </c>
      <c r="G32" s="34">
        <v>424.9</v>
      </c>
      <c r="H32" s="4">
        <v>0</v>
      </c>
      <c r="I32" s="34">
        <v>0</v>
      </c>
      <c r="J32" s="14">
        <v>37</v>
      </c>
      <c r="K32" s="35">
        <v>1870.61</v>
      </c>
      <c r="L32" s="14">
        <v>4</v>
      </c>
      <c r="M32" s="35">
        <v>214.94</v>
      </c>
      <c r="N32" s="14">
        <v>9</v>
      </c>
      <c r="O32" s="35">
        <v>354.52</v>
      </c>
      <c r="P32" s="7">
        <v>342</v>
      </c>
      <c r="Q32" s="33">
        <v>41502.9</v>
      </c>
      <c r="R32" s="36">
        <f t="shared" si="0"/>
        <v>607</v>
      </c>
      <c r="S32" s="37">
        <f t="shared" si="1"/>
        <v>56853.320000000007</v>
      </c>
    </row>
    <row r="33" spans="1:19" x14ac:dyDescent="0.25">
      <c r="A33" s="3" t="s">
        <v>24</v>
      </c>
      <c r="B33" s="4">
        <v>82</v>
      </c>
      <c r="C33" s="33">
        <v>3746.38</v>
      </c>
      <c r="D33" s="4">
        <v>0</v>
      </c>
      <c r="E33" s="33">
        <v>0</v>
      </c>
      <c r="F33" s="4">
        <v>0</v>
      </c>
      <c r="G33" s="34">
        <v>0</v>
      </c>
      <c r="H33" s="4">
        <v>11</v>
      </c>
      <c r="I33" s="34">
        <v>471.6</v>
      </c>
      <c r="J33" s="6">
        <v>0</v>
      </c>
      <c r="K33" s="35">
        <v>0</v>
      </c>
      <c r="L33" s="6">
        <v>0</v>
      </c>
      <c r="M33" s="35">
        <v>0</v>
      </c>
      <c r="N33" s="6">
        <v>0</v>
      </c>
      <c r="O33" s="35">
        <v>0</v>
      </c>
      <c r="P33" s="7">
        <v>2020</v>
      </c>
      <c r="Q33" s="33">
        <v>84437.53</v>
      </c>
      <c r="R33" s="36">
        <f t="shared" si="0"/>
        <v>2113</v>
      </c>
      <c r="S33" s="37">
        <f t="shared" si="1"/>
        <v>88655.510000000009</v>
      </c>
    </row>
    <row r="34" spans="1:19" x14ac:dyDescent="0.25">
      <c r="A34" s="3" t="s">
        <v>18</v>
      </c>
      <c r="B34" s="4">
        <v>717</v>
      </c>
      <c r="C34" s="33">
        <v>31060.75</v>
      </c>
      <c r="D34" s="4">
        <v>19</v>
      </c>
      <c r="E34" s="33">
        <v>1231.04</v>
      </c>
      <c r="F34" s="4">
        <v>39</v>
      </c>
      <c r="G34" s="34">
        <v>2414.88</v>
      </c>
      <c r="H34" s="4">
        <v>98</v>
      </c>
      <c r="I34" s="34">
        <v>3052.64</v>
      </c>
      <c r="J34" s="6">
        <v>0</v>
      </c>
      <c r="K34" s="35">
        <v>0</v>
      </c>
      <c r="L34" s="6">
        <v>0</v>
      </c>
      <c r="M34" s="35">
        <v>0</v>
      </c>
      <c r="N34" s="6">
        <v>0</v>
      </c>
      <c r="O34" s="35">
        <v>0</v>
      </c>
      <c r="P34" s="7">
        <v>1019</v>
      </c>
      <c r="Q34" s="33">
        <v>48724.57</v>
      </c>
      <c r="R34" s="36">
        <f t="shared" si="0"/>
        <v>1892</v>
      </c>
      <c r="S34" s="37">
        <f t="shared" si="1"/>
        <v>86483.88</v>
      </c>
    </row>
    <row r="35" spans="1:19" x14ac:dyDescent="0.25">
      <c r="A35" s="16" t="s">
        <v>34</v>
      </c>
      <c r="B35" s="4">
        <v>196</v>
      </c>
      <c r="C35" s="33">
        <v>14201.71</v>
      </c>
      <c r="D35" s="4">
        <v>62</v>
      </c>
      <c r="E35" s="33">
        <v>3505.03</v>
      </c>
      <c r="F35" s="4">
        <v>68</v>
      </c>
      <c r="G35" s="34">
        <v>2847.17</v>
      </c>
      <c r="H35" s="4">
        <v>7</v>
      </c>
      <c r="I35" s="34">
        <v>271.23</v>
      </c>
      <c r="J35" s="14">
        <v>24</v>
      </c>
      <c r="K35" s="35">
        <v>1241.17</v>
      </c>
      <c r="L35" s="14">
        <v>8</v>
      </c>
      <c r="M35" s="35">
        <v>332</v>
      </c>
      <c r="N35" s="14">
        <v>42</v>
      </c>
      <c r="O35" s="35">
        <v>1264.1600000000001</v>
      </c>
      <c r="P35" s="7">
        <v>50</v>
      </c>
      <c r="Q35" s="33">
        <v>5092.8</v>
      </c>
      <c r="R35" s="36">
        <f t="shared" si="0"/>
        <v>457</v>
      </c>
      <c r="S35" s="37">
        <f t="shared" si="1"/>
        <v>28755.27</v>
      </c>
    </row>
    <row r="36" spans="1:19" x14ac:dyDescent="0.25">
      <c r="A36" s="22" t="s">
        <v>49</v>
      </c>
      <c r="B36" s="4">
        <v>51</v>
      </c>
      <c r="C36" s="33">
        <v>3216.23</v>
      </c>
      <c r="D36" s="4">
        <v>21</v>
      </c>
      <c r="E36" s="33">
        <v>1082.0999999999999</v>
      </c>
      <c r="F36" s="4">
        <v>48</v>
      </c>
      <c r="G36" s="34">
        <v>3239.1</v>
      </c>
      <c r="H36" s="4">
        <v>0</v>
      </c>
      <c r="I36" s="34">
        <v>0</v>
      </c>
      <c r="J36" s="6">
        <v>23</v>
      </c>
      <c r="K36" s="35">
        <v>1092.96</v>
      </c>
      <c r="L36" s="6">
        <v>47</v>
      </c>
      <c r="M36" s="35">
        <v>2019.79</v>
      </c>
      <c r="N36" s="6">
        <v>19</v>
      </c>
      <c r="O36" s="35">
        <v>796.34</v>
      </c>
      <c r="P36" s="7">
        <v>67</v>
      </c>
      <c r="Q36" s="33">
        <v>2689.1</v>
      </c>
      <c r="R36" s="36">
        <f t="shared" si="0"/>
        <v>276</v>
      </c>
      <c r="S36" s="37">
        <f t="shared" si="1"/>
        <v>14135.619999999999</v>
      </c>
    </row>
    <row r="37" spans="1:19" x14ac:dyDescent="0.25">
      <c r="A37" s="3" t="s">
        <v>22</v>
      </c>
      <c r="B37" s="4">
        <v>727</v>
      </c>
      <c r="C37" s="33">
        <v>34304.199999999997</v>
      </c>
      <c r="D37" s="4">
        <v>13</v>
      </c>
      <c r="E37" s="33">
        <v>740.5</v>
      </c>
      <c r="F37" s="4">
        <v>37</v>
      </c>
      <c r="G37" s="34">
        <v>1315.26</v>
      </c>
      <c r="H37" s="4">
        <v>0</v>
      </c>
      <c r="I37" s="34">
        <v>0</v>
      </c>
      <c r="J37" s="6">
        <v>0</v>
      </c>
      <c r="K37" s="35">
        <v>0</v>
      </c>
      <c r="L37" s="6">
        <v>0</v>
      </c>
      <c r="M37" s="35">
        <v>0</v>
      </c>
      <c r="N37" s="6">
        <v>0</v>
      </c>
      <c r="O37" s="35">
        <v>0</v>
      </c>
      <c r="P37" s="7">
        <v>1303</v>
      </c>
      <c r="Q37" s="33">
        <v>54009.32</v>
      </c>
      <c r="R37" s="36">
        <f t="shared" si="0"/>
        <v>2080</v>
      </c>
      <c r="S37" s="37">
        <f t="shared" si="1"/>
        <v>90369.279999999999</v>
      </c>
    </row>
    <row r="38" spans="1:19" x14ac:dyDescent="0.25">
      <c r="A38" s="3" t="s">
        <v>32</v>
      </c>
      <c r="B38" s="10">
        <v>0</v>
      </c>
      <c r="C38" s="39">
        <v>0</v>
      </c>
      <c r="D38" s="4">
        <v>0</v>
      </c>
      <c r="E38" s="33">
        <v>0</v>
      </c>
      <c r="F38" s="10">
        <v>0</v>
      </c>
      <c r="G38" s="39">
        <v>0</v>
      </c>
      <c r="H38" s="4">
        <v>0</v>
      </c>
      <c r="I38" s="34">
        <v>0</v>
      </c>
      <c r="J38" s="6">
        <v>0</v>
      </c>
      <c r="K38" s="35">
        <v>0</v>
      </c>
      <c r="L38" s="6">
        <v>0</v>
      </c>
      <c r="M38" s="35">
        <v>0</v>
      </c>
      <c r="N38" s="6">
        <v>0</v>
      </c>
      <c r="O38" s="35">
        <v>0</v>
      </c>
      <c r="P38" s="7">
        <v>1257</v>
      </c>
      <c r="Q38" s="33">
        <v>53580.91</v>
      </c>
      <c r="R38" s="36">
        <f t="shared" si="0"/>
        <v>1257</v>
      </c>
      <c r="S38" s="37">
        <f t="shared" si="1"/>
        <v>53580.91</v>
      </c>
    </row>
    <row r="39" spans="1:19" ht="15.75" thickBot="1" x14ac:dyDescent="0.3">
      <c r="A39" s="46" t="s">
        <v>30</v>
      </c>
      <c r="B39" s="4">
        <v>559</v>
      </c>
      <c r="C39" s="47">
        <v>33664.46</v>
      </c>
      <c r="D39" s="4">
        <v>16</v>
      </c>
      <c r="E39" s="33">
        <v>973.8</v>
      </c>
      <c r="F39" s="4">
        <v>250</v>
      </c>
      <c r="G39" s="34">
        <v>19235.91</v>
      </c>
      <c r="H39" s="4">
        <v>0</v>
      </c>
      <c r="I39" s="34">
        <v>0</v>
      </c>
      <c r="J39" s="14">
        <v>154</v>
      </c>
      <c r="K39" s="35">
        <v>5302.8</v>
      </c>
      <c r="L39" s="14">
        <v>1</v>
      </c>
      <c r="M39" s="35">
        <v>18.5</v>
      </c>
      <c r="N39" s="14">
        <v>31</v>
      </c>
      <c r="O39" s="35">
        <v>1252.43</v>
      </c>
      <c r="P39" s="7">
        <v>152</v>
      </c>
      <c r="Q39" s="33">
        <v>5839.78</v>
      </c>
      <c r="R39" s="36">
        <f t="shared" si="0"/>
        <v>1163</v>
      </c>
      <c r="S39" s="37">
        <f t="shared" si="1"/>
        <v>66287.679999999993</v>
      </c>
    </row>
    <row r="40" spans="1:19" ht="19.5" thickBot="1" x14ac:dyDescent="0.35">
      <c r="A40" s="44" t="s">
        <v>51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8"/>
      <c r="R40" s="23">
        <f>SUM(R3:R39)</f>
        <v>59111</v>
      </c>
      <c r="S40" s="24">
        <f>SUM(S3:S39)</f>
        <v>2959500.0000000005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topLeftCell="A13" zoomScale="91" zoomScaleNormal="91" workbookViewId="0">
      <selection activeCell="A3" sqref="A3:A39"/>
    </sheetView>
  </sheetViews>
  <sheetFormatPr defaultRowHeight="15" x14ac:dyDescent="0.25"/>
  <cols>
    <col min="1" max="1" width="3.85546875" customWidth="1"/>
    <col min="2" max="2" width="28" customWidth="1"/>
    <col min="3" max="3" width="15" customWidth="1"/>
  </cols>
  <sheetData>
    <row r="1" spans="1:3" ht="15.75" thickBot="1" x14ac:dyDescent="0.3">
      <c r="A1" s="86" t="s">
        <v>52</v>
      </c>
      <c r="B1" s="86"/>
      <c r="C1" s="86"/>
    </row>
    <row r="2" spans="1:3" ht="15" customHeight="1" x14ac:dyDescent="0.25">
      <c r="A2" s="87" t="s">
        <v>1</v>
      </c>
      <c r="B2" s="88"/>
      <c r="C2" s="84" t="s">
        <v>53</v>
      </c>
    </row>
    <row r="3" spans="1:3" x14ac:dyDescent="0.25">
      <c r="A3" s="49" t="s">
        <v>54</v>
      </c>
      <c r="B3" s="3" t="str">
        <f>Geral!A31</f>
        <v>La Fruta Açaí - Santana do Livramento</v>
      </c>
      <c r="C3" s="50">
        <f>Geral!S31</f>
        <v>577567.37000000011</v>
      </c>
    </row>
    <row r="4" spans="1:3" x14ac:dyDescent="0.25">
      <c r="A4" s="49" t="s">
        <v>55</v>
      </c>
      <c r="B4" s="3" t="str">
        <f>Geral!A14</f>
        <v>La Fruta Açaí - Itapema</v>
      </c>
      <c r="C4" s="50">
        <f>Geral!S14</f>
        <v>210566.43</v>
      </c>
    </row>
    <row r="5" spans="1:3" x14ac:dyDescent="0.25">
      <c r="A5" s="49" t="s">
        <v>56</v>
      </c>
      <c r="B5" s="3" t="str">
        <f>Geral!A3</f>
        <v>La Fruta Açaí - Bagé</v>
      </c>
      <c r="C5" s="50">
        <f>Geral!S3</f>
        <v>161156.37</v>
      </c>
    </row>
    <row r="6" spans="1:3" x14ac:dyDescent="0.25">
      <c r="A6" s="49" t="s">
        <v>57</v>
      </c>
      <c r="B6" s="3" t="str">
        <f>Geral!A15</f>
        <v>La Fruta Açaí - Jataí</v>
      </c>
      <c r="C6" s="50">
        <f>Geral!S15</f>
        <v>134492.32</v>
      </c>
    </row>
    <row r="7" spans="1:3" x14ac:dyDescent="0.25">
      <c r="A7" s="49" t="s">
        <v>58</v>
      </c>
      <c r="B7" s="3" t="str">
        <f>Geral!A13</f>
        <v>La Fruta Açaí - Itajai</v>
      </c>
      <c r="C7" s="50">
        <f>Geral!S13</f>
        <v>132679.88</v>
      </c>
    </row>
    <row r="8" spans="1:3" x14ac:dyDescent="0.25">
      <c r="A8" s="49" t="s">
        <v>59</v>
      </c>
      <c r="B8" s="3" t="str">
        <f>Geral!A4</f>
        <v>La Fruta Açaí - Bento Gonçalves</v>
      </c>
      <c r="C8" s="50">
        <f>Geral!S4</f>
        <v>123900.88</v>
      </c>
    </row>
    <row r="9" spans="1:3" x14ac:dyDescent="0.25">
      <c r="A9" s="49" t="s">
        <v>60</v>
      </c>
      <c r="B9" s="3" t="str">
        <f>Geral!A30</f>
        <v>La Fruta Açaí - Santa Maria</v>
      </c>
      <c r="C9" s="50">
        <f>Geral!S30</f>
        <v>117658.06</v>
      </c>
    </row>
    <row r="10" spans="1:3" x14ac:dyDescent="0.25">
      <c r="A10" s="49" t="s">
        <v>61</v>
      </c>
      <c r="B10" s="3" t="str">
        <f>Geral!A6</f>
        <v>La Fruta Açaí - Bom Fim/ POA</v>
      </c>
      <c r="C10" s="50">
        <f>Geral!S6</f>
        <v>94644.88</v>
      </c>
    </row>
    <row r="11" spans="1:3" x14ac:dyDescent="0.25">
      <c r="A11" s="49" t="s">
        <v>62</v>
      </c>
      <c r="B11" s="3" t="str">
        <f>Geral!A8</f>
        <v>La Fruta Açaí - Campinas Prado</v>
      </c>
      <c r="C11" s="50">
        <f>Geral!S8</f>
        <v>91958.81</v>
      </c>
    </row>
    <row r="12" spans="1:3" x14ac:dyDescent="0.25">
      <c r="A12" s="49" t="s">
        <v>63</v>
      </c>
      <c r="B12" s="3" t="str">
        <f>Geral!A37</f>
        <v>La Fruta Açaí - Uruguaiana</v>
      </c>
      <c r="C12" s="50">
        <f>Geral!S37</f>
        <v>90369.279999999999</v>
      </c>
    </row>
    <row r="13" spans="1:3" x14ac:dyDescent="0.25">
      <c r="A13" s="49" t="s">
        <v>64</v>
      </c>
      <c r="B13" s="3" t="str">
        <f>Geral!A33</f>
        <v>La Fruta Açaí - São Gabriel</v>
      </c>
      <c r="C13" s="50">
        <f>Geral!S33</f>
        <v>88655.510000000009</v>
      </c>
    </row>
    <row r="14" spans="1:3" x14ac:dyDescent="0.25">
      <c r="A14" s="49" t="s">
        <v>65</v>
      </c>
      <c r="B14" s="3" t="str">
        <f>Geral!A34</f>
        <v>La Fruta Açaí - São José do Rio Preto</v>
      </c>
      <c r="C14" s="50">
        <f>Geral!S34</f>
        <v>86483.88</v>
      </c>
    </row>
    <row r="15" spans="1:3" x14ac:dyDescent="0.25">
      <c r="A15" s="49" t="s">
        <v>66</v>
      </c>
      <c r="B15" s="3" t="str">
        <f>Geral!A27</f>
        <v>La Fruta Açaí - Samambaia Norte</v>
      </c>
      <c r="C15" s="50">
        <f>Geral!S27</f>
        <v>80307.399999999994</v>
      </c>
    </row>
    <row r="16" spans="1:3" x14ac:dyDescent="0.25">
      <c r="A16" s="49" t="s">
        <v>67</v>
      </c>
      <c r="B16" s="3" t="str">
        <f>Geral!A21</f>
        <v>La Fruta Açaí - Pato Branco Centro</v>
      </c>
      <c r="C16" s="50">
        <f>Geral!S21</f>
        <v>78590.820000000007</v>
      </c>
    </row>
    <row r="17" spans="1:3" x14ac:dyDescent="0.25">
      <c r="A17" s="49" t="s">
        <v>68</v>
      </c>
      <c r="B17" s="3" t="str">
        <f>Geral!A39</f>
        <v>La Fruta Açaí - Vila Mariana</v>
      </c>
      <c r="C17" s="50">
        <f>Geral!S39</f>
        <v>66287.679999999993</v>
      </c>
    </row>
    <row r="18" spans="1:3" x14ac:dyDescent="0.25">
      <c r="A18" s="49" t="s">
        <v>69</v>
      </c>
      <c r="B18" s="3" t="str">
        <f>Geral!A19</f>
        <v>La Fruta Açaí - Osasco</v>
      </c>
      <c r="C18" s="50">
        <f>Geral!S19</f>
        <v>65443.740000000005</v>
      </c>
    </row>
    <row r="19" spans="1:3" x14ac:dyDescent="0.25">
      <c r="A19" s="49" t="s">
        <v>70</v>
      </c>
      <c r="B19" s="3" t="str">
        <f>Geral!A10</f>
        <v>La Fruta Açaí - Flores da Cunha</v>
      </c>
      <c r="C19" s="50">
        <f>Geral!S10</f>
        <v>62738.33</v>
      </c>
    </row>
    <row r="20" spans="1:3" x14ac:dyDescent="0.25">
      <c r="A20" s="49" t="s">
        <v>71</v>
      </c>
      <c r="B20" s="3" t="str">
        <f>Geral!A24</f>
        <v>La Fruta Açai - Renascença/BH</v>
      </c>
      <c r="C20" s="50">
        <f>Geral!S24</f>
        <v>61133.07</v>
      </c>
    </row>
    <row r="21" spans="1:3" x14ac:dyDescent="0.25">
      <c r="A21" s="49" t="s">
        <v>72</v>
      </c>
      <c r="B21" s="3" t="str">
        <f>Geral!A26</f>
        <v>La Fruta Açaí - Rosário do Sul</v>
      </c>
      <c r="C21" s="50">
        <f>Geral!S26</f>
        <v>57195.24</v>
      </c>
    </row>
    <row r="22" spans="1:3" x14ac:dyDescent="0.25">
      <c r="A22" s="49" t="s">
        <v>73</v>
      </c>
      <c r="B22" s="3" t="str">
        <f>Geral!A32</f>
        <v>La Fruta Açaí - São Bernardo do Campo</v>
      </c>
      <c r="C22" s="50">
        <f>Geral!S32</f>
        <v>56853.320000000007</v>
      </c>
    </row>
    <row r="23" spans="1:3" x14ac:dyDescent="0.25">
      <c r="A23" s="49" t="s">
        <v>74</v>
      </c>
      <c r="B23" s="3" t="str">
        <f>Geral!A28</f>
        <v>La Fruta Açaí - Samambaia Sul</v>
      </c>
      <c r="C23" s="50">
        <f>Geral!S28</f>
        <v>53740.82</v>
      </c>
    </row>
    <row r="24" spans="1:3" x14ac:dyDescent="0.25">
      <c r="A24" s="49" t="s">
        <v>75</v>
      </c>
      <c r="B24" s="3" t="str">
        <f>Geral!A38</f>
        <v>La Fruta Açaí - Vacaria</v>
      </c>
      <c r="C24" s="50">
        <f>Geral!S38</f>
        <v>53580.91</v>
      </c>
    </row>
    <row r="25" spans="1:3" x14ac:dyDescent="0.25">
      <c r="A25" s="49" t="s">
        <v>76</v>
      </c>
      <c r="B25" s="3" t="str">
        <f>Geral!A29</f>
        <v>La Fruta Açaí - Santa Cruz do Sul/RS</v>
      </c>
      <c r="C25" s="50">
        <f>Geral!S29</f>
        <v>52878.53</v>
      </c>
    </row>
    <row r="26" spans="1:3" x14ac:dyDescent="0.25">
      <c r="A26" s="49" t="s">
        <v>77</v>
      </c>
      <c r="B26" s="3" t="str">
        <f>Geral!A16</f>
        <v xml:space="preserve">La Fruta Açaí - Jundiaí </v>
      </c>
      <c r="C26" s="50">
        <f>Geral!S16</f>
        <v>48284.66</v>
      </c>
    </row>
    <row r="27" spans="1:3" x14ac:dyDescent="0.25">
      <c r="A27" s="49" t="s">
        <v>78</v>
      </c>
      <c r="B27" s="3" t="str">
        <f>Geral!A7</f>
        <v>La Fruta Açaí - Botafogo RJ</v>
      </c>
      <c r="C27" s="50">
        <f>Geral!S7</f>
        <v>47812.329999999994</v>
      </c>
    </row>
    <row r="28" spans="1:3" x14ac:dyDescent="0.25">
      <c r="A28" s="49" t="s">
        <v>79</v>
      </c>
      <c r="B28" s="3" t="str">
        <f>Geral!A23</f>
        <v>La Fruta Açai - Recreio/RJ</v>
      </c>
      <c r="C28" s="50">
        <f>Geral!S23</f>
        <v>36166.289999999994</v>
      </c>
    </row>
    <row r="29" spans="1:3" x14ac:dyDescent="0.25">
      <c r="A29" s="49" t="s">
        <v>80</v>
      </c>
      <c r="B29" s="3" t="str">
        <f>Geral!A18</f>
        <v>La Fruta Açaí - Mooca</v>
      </c>
      <c r="C29" s="50">
        <f>Geral!S18</f>
        <v>34249.82</v>
      </c>
    </row>
    <row r="30" spans="1:3" x14ac:dyDescent="0.25">
      <c r="A30" s="49" t="s">
        <v>81</v>
      </c>
      <c r="B30" s="3" t="str">
        <f>Geral!A22</f>
        <v>La Fruta Açaí - Pato Branco Shopping</v>
      </c>
      <c r="C30" s="50">
        <f>Geral!S22</f>
        <v>29960.12</v>
      </c>
    </row>
    <row r="31" spans="1:3" x14ac:dyDescent="0.25">
      <c r="A31" s="49" t="s">
        <v>82</v>
      </c>
      <c r="B31" s="3" t="str">
        <f>Geral!A35</f>
        <v>La Fruta Açaí - Tatuapé</v>
      </c>
      <c r="C31" s="50">
        <f>Geral!S35</f>
        <v>28755.27</v>
      </c>
    </row>
    <row r="32" spans="1:3" x14ac:dyDescent="0.25">
      <c r="A32" s="49" t="s">
        <v>83</v>
      </c>
      <c r="B32" s="3" t="str">
        <f>Geral!A17</f>
        <v>La Fruta Açaí - Lajeado</v>
      </c>
      <c r="C32" s="50">
        <f>Geral!S17</f>
        <v>27276.97</v>
      </c>
    </row>
    <row r="33" spans="1:3" x14ac:dyDescent="0.25">
      <c r="A33" s="49" t="s">
        <v>84</v>
      </c>
      <c r="B33" s="3" t="str">
        <f>Geral!A25</f>
        <v>La Fruta Açaí - Rondonopolis</v>
      </c>
      <c r="C33" s="50">
        <f>Geral!S25</f>
        <v>22218.339999999997</v>
      </c>
    </row>
    <row r="34" spans="1:3" x14ac:dyDescent="0.25">
      <c r="A34" s="49" t="s">
        <v>85</v>
      </c>
      <c r="B34" s="3" t="str">
        <f>Geral!A9</f>
        <v xml:space="preserve">La Fruta Açaí - Farroupilha </v>
      </c>
      <c r="C34" s="50">
        <f>Geral!S9</f>
        <v>20548.54</v>
      </c>
    </row>
    <row r="35" spans="1:3" x14ac:dyDescent="0.25">
      <c r="A35" s="49" t="s">
        <v>86</v>
      </c>
      <c r="B35" s="3" t="str">
        <f>Geral!A5</f>
        <v xml:space="preserve">La Fruta Açaí - BH Buritis </v>
      </c>
      <c r="C35" s="50">
        <f>Geral!S5</f>
        <v>17277.3</v>
      </c>
    </row>
    <row r="36" spans="1:3" x14ac:dyDescent="0.25">
      <c r="A36" s="49" t="s">
        <v>87</v>
      </c>
      <c r="B36" s="3" t="str">
        <f>Geral!A12</f>
        <v>La Fruta Açaí - Interlagos</v>
      </c>
      <c r="C36" s="50">
        <f>Geral!S12</f>
        <v>17030.739999999998</v>
      </c>
    </row>
    <row r="37" spans="1:3" x14ac:dyDescent="0.25">
      <c r="A37" s="49" t="s">
        <v>88</v>
      </c>
      <c r="B37" s="3" t="str">
        <f>Geral!A11</f>
        <v>La Fruta Açaí - Ijuí</v>
      </c>
      <c r="C37" s="50">
        <f>Geral!S11</f>
        <v>16900.47</v>
      </c>
    </row>
    <row r="38" spans="1:3" x14ac:dyDescent="0.25">
      <c r="A38" s="49" t="s">
        <v>89</v>
      </c>
      <c r="B38" s="3" t="str">
        <f>Geral!A36</f>
        <v>La Fruta Açaí - Tremembé</v>
      </c>
      <c r="C38" s="50">
        <f>Geral!S36</f>
        <v>14135.619999999999</v>
      </c>
    </row>
    <row r="39" spans="1:3" x14ac:dyDescent="0.25">
      <c r="A39" s="49" t="s">
        <v>90</v>
      </c>
      <c r="B39" s="3" t="str">
        <f>Geral!A20</f>
        <v xml:space="preserve">La Fruta Açaí - Passo Fundo </v>
      </c>
      <c r="C39" s="50">
        <f>Geral!S20</f>
        <v>0</v>
      </c>
    </row>
    <row r="40" spans="1:3" x14ac:dyDescent="0.25">
      <c r="A40" s="49"/>
      <c r="B40" s="3"/>
      <c r="C40" s="50"/>
    </row>
    <row r="41" spans="1:3" x14ac:dyDescent="0.25">
      <c r="A41" s="49"/>
      <c r="B41" s="3"/>
      <c r="C41" s="50"/>
    </row>
    <row r="42" spans="1:3" x14ac:dyDescent="0.25">
      <c r="A42" s="49"/>
      <c r="B42" s="3"/>
      <c r="C42" s="50"/>
    </row>
    <row r="43" spans="1:3" x14ac:dyDescent="0.25">
      <c r="A43" s="49"/>
      <c r="B43" s="3"/>
      <c r="C43" s="50"/>
    </row>
    <row r="44" spans="1:3" x14ac:dyDescent="0.25">
      <c r="A44" s="49"/>
      <c r="B44" s="3"/>
      <c r="C44" s="50"/>
    </row>
    <row r="45" spans="1:3" x14ac:dyDescent="0.25">
      <c r="A45" s="49"/>
      <c r="B45" s="3"/>
      <c r="C45" s="50"/>
    </row>
  </sheetData>
  <autoFilter ref="A2:C2">
    <filterColumn colId="0" showButton="0"/>
    <sortState ref="A3:C39">
      <sortCondition descending="1" ref="C2"/>
    </sortState>
  </autoFilter>
  <mergeCells count="2">
    <mergeCell ref="A1:C1"/>
    <mergeCell ref="A2:B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C3" sqref="C3:C16"/>
    </sheetView>
  </sheetViews>
  <sheetFormatPr defaultRowHeight="15" x14ac:dyDescent="0.25"/>
  <cols>
    <col min="2" max="2" width="32.140625" customWidth="1"/>
    <col min="3" max="3" width="14.5703125" customWidth="1"/>
  </cols>
  <sheetData>
    <row r="1" spans="1:3" ht="19.5" thickBot="1" x14ac:dyDescent="0.3">
      <c r="A1" s="89" t="s">
        <v>97</v>
      </c>
      <c r="B1" s="90"/>
      <c r="C1" s="90"/>
    </row>
    <row r="2" spans="1:3" x14ac:dyDescent="0.25">
      <c r="A2" s="91" t="s">
        <v>98</v>
      </c>
      <c r="B2" s="92"/>
      <c r="C2" s="51" t="s">
        <v>51</v>
      </c>
    </row>
    <row r="3" spans="1:3" x14ac:dyDescent="0.25">
      <c r="A3" s="52" t="s">
        <v>59</v>
      </c>
      <c r="B3" s="3" t="str">
        <f>Geral!A8</f>
        <v>La Fruta Açaí - Campinas Prado</v>
      </c>
      <c r="C3" s="53">
        <f>SUM(Geral!K8,Geral!M8,Geral!O8,)</f>
        <v>16844.900000000001</v>
      </c>
    </row>
    <row r="4" spans="1:3" x14ac:dyDescent="0.25">
      <c r="A4" s="52" t="s">
        <v>90</v>
      </c>
      <c r="B4" s="3" t="str">
        <f>Geral!A39</f>
        <v>La Fruta Açaí - Vila Mariana</v>
      </c>
      <c r="C4" s="53">
        <f>SUM(Geral!K39,Geral!M39,Geral!O39,)</f>
        <v>6573.7300000000005</v>
      </c>
    </row>
    <row r="5" spans="1:3" x14ac:dyDescent="0.25">
      <c r="A5" s="52" t="s">
        <v>75</v>
      </c>
      <c r="B5" s="3" t="str">
        <f>Geral!A24</f>
        <v>La Fruta Açai - Renascença/BH</v>
      </c>
      <c r="C5" s="53">
        <f>SUM(Geral!K24,Geral!M24,Geral!O24,)</f>
        <v>4639.0600000000004</v>
      </c>
    </row>
    <row r="6" spans="1:3" x14ac:dyDescent="0.25">
      <c r="A6" s="52" t="s">
        <v>87</v>
      </c>
      <c r="B6" s="3" t="str">
        <f>Geral!A36</f>
        <v>La Fruta Açaí - Tremembé</v>
      </c>
      <c r="C6" s="53">
        <f>SUM(Geral!K36,Geral!M36,Geral!O36,)</f>
        <v>3909.09</v>
      </c>
    </row>
    <row r="7" spans="1:3" x14ac:dyDescent="0.25">
      <c r="A7" s="52" t="s">
        <v>56</v>
      </c>
      <c r="B7" s="3" t="str">
        <f>Geral!A5</f>
        <v xml:space="preserve">La Fruta Açaí - BH Buritis </v>
      </c>
      <c r="C7" s="53">
        <f>SUM(Geral!K5,Geral!M5,Geral!O5,)</f>
        <v>3492.2</v>
      </c>
    </row>
    <row r="8" spans="1:3" x14ac:dyDescent="0.25">
      <c r="A8" s="52" t="s">
        <v>74</v>
      </c>
      <c r="B8" s="3" t="str">
        <f>Geral!A23</f>
        <v>La Fruta Açai - Recreio/RJ</v>
      </c>
      <c r="C8" s="53">
        <f>SUM(Geral!K23,Geral!M23,Geral!O23,)</f>
        <v>3312.2</v>
      </c>
    </row>
    <row r="9" spans="1:3" x14ac:dyDescent="0.25">
      <c r="A9" s="52" t="s">
        <v>58</v>
      </c>
      <c r="B9" s="3" t="str">
        <f>Geral!A7</f>
        <v>La Fruta Açaí - Botafogo RJ</v>
      </c>
      <c r="C9" s="53">
        <f>SUM(Geral!K7,Geral!M7,Geral!O7,)</f>
        <v>2872.99</v>
      </c>
    </row>
    <row r="10" spans="1:3" x14ac:dyDescent="0.25">
      <c r="A10" s="52" t="s">
        <v>86</v>
      </c>
      <c r="B10" s="3" t="str">
        <f>Geral!A35</f>
        <v>La Fruta Açaí - Tatuapé</v>
      </c>
      <c r="C10" s="53">
        <f>SUM(Geral!K35,Geral!M35,Geral!O35,)</f>
        <v>2837.33</v>
      </c>
    </row>
    <row r="11" spans="1:3" x14ac:dyDescent="0.25">
      <c r="A11" s="52" t="s">
        <v>69</v>
      </c>
      <c r="B11" s="3" t="str">
        <f>Geral!A18</f>
        <v>La Fruta Açaí - Mooca</v>
      </c>
      <c r="C11" s="53">
        <f>SUM(Geral!K18,Geral!M18,Geral!O18,)</f>
        <v>2812.81</v>
      </c>
    </row>
    <row r="12" spans="1:3" x14ac:dyDescent="0.25">
      <c r="A12" s="52" t="s">
        <v>83</v>
      </c>
      <c r="B12" s="3" t="str">
        <f>Geral!A32</f>
        <v>La Fruta Açaí - São Bernardo do Campo</v>
      </c>
      <c r="C12" s="53">
        <f>SUM(Geral!K32,Geral!M32,Geral!O32,)</f>
        <v>2440.0699999999997</v>
      </c>
    </row>
    <row r="13" spans="1:3" x14ac:dyDescent="0.25">
      <c r="A13" s="52" t="s">
        <v>70</v>
      </c>
      <c r="B13" s="3" t="str">
        <f>Geral!A19</f>
        <v>La Fruta Açaí - Osasco</v>
      </c>
      <c r="C13" s="53">
        <f>SUM(Geral!K19,Geral!M19,Geral!O19,)</f>
        <v>777.52</v>
      </c>
    </row>
    <row r="14" spans="1:3" x14ac:dyDescent="0.25">
      <c r="A14" s="52" t="s">
        <v>63</v>
      </c>
      <c r="B14" s="3" t="str">
        <f>Geral!A12</f>
        <v>La Fruta Açaí - Interlagos</v>
      </c>
      <c r="C14" s="53">
        <f>SUM(Geral!K12,Geral!M12,Geral!O12,)</f>
        <v>153</v>
      </c>
    </row>
    <row r="15" spans="1:3" x14ac:dyDescent="0.25">
      <c r="A15" s="52" t="s">
        <v>54</v>
      </c>
      <c r="B15" s="3" t="str">
        <f>Geral!A3</f>
        <v>La Fruta Açaí - Bagé</v>
      </c>
      <c r="C15" s="53">
        <f>SUM(Geral!K3,Geral!M3,Geral!O3,)</f>
        <v>0</v>
      </c>
    </row>
    <row r="16" spans="1:3" x14ac:dyDescent="0.25">
      <c r="A16" s="52" t="s">
        <v>55</v>
      </c>
      <c r="B16" s="3" t="str">
        <f>Geral!A4</f>
        <v>La Fruta Açaí - Bento Gonçalves</v>
      </c>
      <c r="C16" s="53">
        <f>SUM(Geral!K4,Geral!M4,Geral!O4,)</f>
        <v>0</v>
      </c>
    </row>
    <row r="17" spans="1:3" x14ac:dyDescent="0.25">
      <c r="A17" s="52" t="s">
        <v>57</v>
      </c>
      <c r="B17" s="3" t="str">
        <f>Geral!A6</f>
        <v>La Fruta Açaí - Bom Fim/ POA</v>
      </c>
      <c r="C17" s="53">
        <f>SUM(Geral!K6,Geral!M6,Geral!O6,)</f>
        <v>0</v>
      </c>
    </row>
    <row r="18" spans="1:3" x14ac:dyDescent="0.25">
      <c r="A18" s="52" t="s">
        <v>60</v>
      </c>
      <c r="B18" s="3" t="str">
        <f>Geral!A9</f>
        <v xml:space="preserve">La Fruta Açaí - Farroupilha </v>
      </c>
      <c r="C18" s="53">
        <f>SUM(Geral!K9,Geral!M9,Geral!O9,)</f>
        <v>0</v>
      </c>
    </row>
    <row r="19" spans="1:3" x14ac:dyDescent="0.25">
      <c r="A19" s="52" t="s">
        <v>61</v>
      </c>
      <c r="B19" s="3" t="str">
        <f>Geral!A10</f>
        <v>La Fruta Açaí - Flores da Cunha</v>
      </c>
      <c r="C19" s="53">
        <f>SUM(Geral!K10,Geral!M10,Geral!O10,)</f>
        <v>0</v>
      </c>
    </row>
    <row r="20" spans="1:3" x14ac:dyDescent="0.25">
      <c r="A20" s="52" t="s">
        <v>62</v>
      </c>
      <c r="B20" s="3" t="str">
        <f>Geral!A11</f>
        <v>La Fruta Açaí - Ijuí</v>
      </c>
      <c r="C20" s="53">
        <f>SUM(Geral!K11,Geral!M11,Geral!O11,)</f>
        <v>0</v>
      </c>
    </row>
    <row r="21" spans="1:3" x14ac:dyDescent="0.25">
      <c r="A21" s="52" t="s">
        <v>64</v>
      </c>
      <c r="B21" s="3" t="str">
        <f>Geral!A13</f>
        <v>La Fruta Açaí - Itajai</v>
      </c>
      <c r="C21" s="53">
        <f>SUM(Geral!K13,Geral!M13,Geral!O13,)</f>
        <v>0</v>
      </c>
    </row>
    <row r="22" spans="1:3" x14ac:dyDescent="0.25">
      <c r="A22" s="52" t="s">
        <v>65</v>
      </c>
      <c r="B22" s="3" t="str">
        <f>Geral!A14</f>
        <v>La Fruta Açaí - Itapema</v>
      </c>
      <c r="C22" s="53">
        <f>SUM(Geral!K14,Geral!M14,Geral!O14,)</f>
        <v>0</v>
      </c>
    </row>
    <row r="23" spans="1:3" x14ac:dyDescent="0.25">
      <c r="A23" s="52" t="s">
        <v>66</v>
      </c>
      <c r="B23" s="3" t="str">
        <f>Geral!A15</f>
        <v>La Fruta Açaí - Jataí</v>
      </c>
      <c r="C23" s="53">
        <f>SUM(Geral!K15,Geral!M15,Geral!O15,)</f>
        <v>0</v>
      </c>
    </row>
    <row r="24" spans="1:3" x14ac:dyDescent="0.25">
      <c r="A24" s="52" t="s">
        <v>67</v>
      </c>
      <c r="B24" s="3" t="str">
        <f>Geral!A16</f>
        <v xml:space="preserve">La Fruta Açaí - Jundiaí </v>
      </c>
      <c r="C24" s="53">
        <f>SUM(Geral!K16,Geral!M16,Geral!O16,)</f>
        <v>0</v>
      </c>
    </row>
    <row r="25" spans="1:3" x14ac:dyDescent="0.25">
      <c r="A25" s="52" t="s">
        <v>68</v>
      </c>
      <c r="B25" s="3" t="str">
        <f>Geral!A17</f>
        <v>La Fruta Açaí - Lajeado</v>
      </c>
      <c r="C25" s="53">
        <f>SUM(Geral!K17,Geral!M17,Geral!O17,)</f>
        <v>0</v>
      </c>
    </row>
    <row r="26" spans="1:3" x14ac:dyDescent="0.25">
      <c r="A26" s="52" t="s">
        <v>71</v>
      </c>
      <c r="B26" s="3" t="str">
        <f>Geral!A21</f>
        <v>La Fruta Açaí - Pato Branco Centro</v>
      </c>
      <c r="C26" s="53">
        <f>SUM(Geral!K21,Geral!M21,Geral!O21,)</f>
        <v>0</v>
      </c>
    </row>
    <row r="27" spans="1:3" x14ac:dyDescent="0.25">
      <c r="A27" s="52" t="s">
        <v>72</v>
      </c>
      <c r="B27" s="3" t="str">
        <f>Geral!A22</f>
        <v>La Fruta Açaí - Pato Branco Shopping</v>
      </c>
      <c r="C27" s="53">
        <f>SUM(Geral!K22,Geral!M22,Geral!O22,)</f>
        <v>0</v>
      </c>
    </row>
    <row r="28" spans="1:3" x14ac:dyDescent="0.25">
      <c r="A28" s="52" t="s">
        <v>73</v>
      </c>
      <c r="B28" s="3" t="e">
        <f>Geral!#REF!</f>
        <v>#REF!</v>
      </c>
      <c r="C28" s="53" t="e">
        <f>SUM(Geral!#REF!,Geral!#REF!,Geral!#REF!,)</f>
        <v>#REF!</v>
      </c>
    </row>
    <row r="29" spans="1:3" x14ac:dyDescent="0.25">
      <c r="A29" s="52" t="s">
        <v>76</v>
      </c>
      <c r="B29" s="3" t="str">
        <f>Geral!A25</f>
        <v>La Fruta Açaí - Rondonopolis</v>
      </c>
      <c r="C29" s="53">
        <f>SUM(Geral!K25,Geral!M25,Geral!O25,)</f>
        <v>0</v>
      </c>
    </row>
    <row r="30" spans="1:3" x14ac:dyDescent="0.25">
      <c r="A30" s="52" t="s">
        <v>77</v>
      </c>
      <c r="B30" s="3" t="str">
        <f>Geral!A26</f>
        <v>La Fruta Açaí - Rosário do Sul</v>
      </c>
      <c r="C30" s="53">
        <f>SUM(Geral!K26,Geral!M26,Geral!O26,)</f>
        <v>0</v>
      </c>
    </row>
    <row r="31" spans="1:3" x14ac:dyDescent="0.25">
      <c r="A31" s="52" t="s">
        <v>78</v>
      </c>
      <c r="B31" s="3" t="str">
        <f>Geral!A27</f>
        <v>La Fruta Açaí - Samambaia Norte</v>
      </c>
      <c r="C31" s="53">
        <f>SUM(Geral!K27,Geral!M27,Geral!O27,)</f>
        <v>0</v>
      </c>
    </row>
    <row r="32" spans="1:3" x14ac:dyDescent="0.25">
      <c r="A32" s="52" t="s">
        <v>79</v>
      </c>
      <c r="B32" s="3" t="str">
        <f>Geral!A28</f>
        <v>La Fruta Açaí - Samambaia Sul</v>
      </c>
      <c r="C32" s="53">
        <f>SUM(Geral!K28,Geral!M28,Geral!O28,)</f>
        <v>0</v>
      </c>
    </row>
    <row r="33" spans="1:3" x14ac:dyDescent="0.25">
      <c r="A33" s="52" t="s">
        <v>80</v>
      </c>
      <c r="B33" s="3" t="str">
        <f>Geral!A29</f>
        <v>La Fruta Açaí - Santa Cruz do Sul/RS</v>
      </c>
      <c r="C33" s="53">
        <f>SUM(Geral!K29,Geral!M29,Geral!O29,)</f>
        <v>0</v>
      </c>
    </row>
    <row r="34" spans="1:3" x14ac:dyDescent="0.25">
      <c r="A34" s="52" t="s">
        <v>81</v>
      </c>
      <c r="B34" s="3" t="str">
        <f>Geral!A30</f>
        <v>La Fruta Açaí - Santa Maria</v>
      </c>
      <c r="C34" s="53">
        <f>SUM(Geral!K30,Geral!M30,Geral!O30,)</f>
        <v>0</v>
      </c>
    </row>
    <row r="35" spans="1:3" x14ac:dyDescent="0.25">
      <c r="A35" s="52" t="s">
        <v>82</v>
      </c>
      <c r="B35" s="3" t="str">
        <f>Geral!A31</f>
        <v>La Fruta Açaí - Santana do Livramento</v>
      </c>
      <c r="C35" s="53">
        <f>SUM(Geral!K31,Geral!M31,Geral!O31,)</f>
        <v>0</v>
      </c>
    </row>
    <row r="36" spans="1:3" x14ac:dyDescent="0.25">
      <c r="A36" s="52" t="s">
        <v>84</v>
      </c>
      <c r="B36" s="3" t="str">
        <f>Geral!A33</f>
        <v>La Fruta Açaí - São Gabriel</v>
      </c>
      <c r="C36" s="53">
        <f>SUM(Geral!K33,Geral!M33,Geral!O33,)</f>
        <v>0</v>
      </c>
    </row>
    <row r="37" spans="1:3" x14ac:dyDescent="0.25">
      <c r="A37" s="52" t="s">
        <v>85</v>
      </c>
      <c r="B37" s="3" t="str">
        <f>Geral!A34</f>
        <v>La Fruta Açaí - São José do Rio Preto</v>
      </c>
      <c r="C37" s="53">
        <f>SUM(Geral!K34,Geral!M34,Geral!O34,)</f>
        <v>0</v>
      </c>
    </row>
    <row r="38" spans="1:3" x14ac:dyDescent="0.25">
      <c r="A38" s="52" t="s">
        <v>88</v>
      </c>
      <c r="B38" s="3" t="str">
        <f>Geral!A37</f>
        <v>La Fruta Açaí - Uruguaiana</v>
      </c>
      <c r="C38" s="53">
        <f>SUM(Geral!K37,Geral!M37,Geral!O37,)</f>
        <v>0</v>
      </c>
    </row>
    <row r="39" spans="1:3" x14ac:dyDescent="0.25">
      <c r="A39" s="52" t="s">
        <v>89</v>
      </c>
      <c r="B39" s="3" t="str">
        <f>Geral!A38</f>
        <v>La Fruta Açaí - Vacaria</v>
      </c>
      <c r="C39" s="53">
        <f>SUM(Geral!K38,Geral!M38,Geral!O38,)</f>
        <v>0</v>
      </c>
    </row>
    <row r="40" spans="1:3" x14ac:dyDescent="0.25">
      <c r="A40" s="52"/>
      <c r="B40" s="3"/>
      <c r="C40" s="53"/>
    </row>
    <row r="41" spans="1:3" x14ac:dyDescent="0.25">
      <c r="A41" s="52"/>
      <c r="B41" s="3"/>
      <c r="C41" s="53"/>
    </row>
    <row r="42" spans="1:3" x14ac:dyDescent="0.25">
      <c r="A42" s="52"/>
      <c r="B42" s="3"/>
      <c r="C42" s="53"/>
    </row>
    <row r="43" spans="1:3" x14ac:dyDescent="0.25">
      <c r="A43" s="52"/>
      <c r="B43" s="3"/>
      <c r="C43" s="53"/>
    </row>
    <row r="44" spans="1:3" x14ac:dyDescent="0.25">
      <c r="A44" s="52"/>
      <c r="B44" s="3"/>
      <c r="C44" s="53"/>
    </row>
    <row r="45" spans="1:3" x14ac:dyDescent="0.25">
      <c r="A45" s="52"/>
      <c r="B45" s="3"/>
      <c r="C45" s="53"/>
    </row>
  </sheetData>
  <autoFilter ref="A2:C2">
    <filterColumn colId="0" showButton="0"/>
    <sortState ref="A3:C39">
      <sortCondition descending="1" ref="C2"/>
    </sortState>
  </autoFilter>
  <mergeCells count="2">
    <mergeCell ref="A1:C1"/>
    <mergeCell ref="A2:B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C7" sqref="C7"/>
    </sheetView>
  </sheetViews>
  <sheetFormatPr defaultRowHeight="15" x14ac:dyDescent="0.25"/>
  <cols>
    <col min="1" max="1" width="7.28515625" customWidth="1"/>
    <col min="2" max="2" width="28.85546875" customWidth="1"/>
    <col min="3" max="3" width="12.7109375" customWidth="1"/>
    <col min="4" max="4" width="12" customWidth="1"/>
    <col min="5" max="5" width="13.28515625" customWidth="1"/>
  </cols>
  <sheetData>
    <row r="1" spans="1:5" x14ac:dyDescent="0.25">
      <c r="A1" s="54" t="s">
        <v>99</v>
      </c>
      <c r="B1" s="55" t="s">
        <v>1</v>
      </c>
      <c r="C1" s="55" t="s">
        <v>100</v>
      </c>
      <c r="D1" s="56" t="s">
        <v>97</v>
      </c>
      <c r="E1" s="57" t="s">
        <v>51</v>
      </c>
    </row>
    <row r="2" spans="1:5" x14ac:dyDescent="0.25">
      <c r="A2" s="58" t="s">
        <v>90</v>
      </c>
      <c r="B2" s="22" t="str">
        <f>Geral!A3</f>
        <v>La Fruta Açaí - Bagé</v>
      </c>
      <c r="C2" s="59">
        <f>Geral!C3</f>
        <v>35125.72</v>
      </c>
      <c r="D2" s="5">
        <f>Geral!K3</f>
        <v>0</v>
      </c>
      <c r="E2" s="60">
        <f>SUM(D2,C2)</f>
        <v>35125.72</v>
      </c>
    </row>
    <row r="3" spans="1:5" x14ac:dyDescent="0.25">
      <c r="A3" s="58" t="s">
        <v>56</v>
      </c>
      <c r="B3" s="22" t="str">
        <f>Geral!A4</f>
        <v>La Fruta Açaí - Bento Gonçalves</v>
      </c>
      <c r="C3" s="59">
        <f>Geral!C4</f>
        <v>65428.52</v>
      </c>
      <c r="D3" s="5">
        <f>Geral!K4</f>
        <v>0</v>
      </c>
      <c r="E3" s="60">
        <f>SUM(D3,C3)</f>
        <v>65428.52</v>
      </c>
    </row>
    <row r="4" spans="1:5" x14ac:dyDescent="0.25">
      <c r="A4" s="58" t="s">
        <v>72</v>
      </c>
      <c r="B4" s="22" t="str">
        <f>Geral!A5</f>
        <v xml:space="preserve">La Fruta Açaí - BH Buritis </v>
      </c>
      <c r="C4" s="59">
        <f>Geral!C5</f>
        <v>9637.2999999999993</v>
      </c>
      <c r="D4" s="5">
        <f>Geral!K5</f>
        <v>3492.2</v>
      </c>
      <c r="E4" s="60">
        <f>SUM(D4,C4)</f>
        <v>13129.5</v>
      </c>
    </row>
    <row r="5" spans="1:5" x14ac:dyDescent="0.25">
      <c r="A5" s="58" t="s">
        <v>60</v>
      </c>
      <c r="B5" s="22" t="str">
        <f>Geral!A6</f>
        <v>La Fruta Açaí - Bom Fim/ POA</v>
      </c>
      <c r="C5" s="59">
        <f>Geral!C6</f>
        <v>57823.82</v>
      </c>
      <c r="D5" s="5">
        <f>Geral!K6</f>
        <v>0</v>
      </c>
      <c r="E5" s="60">
        <f>SUM(D5,C5)</f>
        <v>57823.82</v>
      </c>
    </row>
    <row r="6" spans="1:5" x14ac:dyDescent="0.25">
      <c r="A6" s="58" t="s">
        <v>59</v>
      </c>
      <c r="B6" s="22" t="str">
        <f>Geral!A7</f>
        <v>La Fruta Açaí - Botafogo RJ</v>
      </c>
      <c r="C6" s="59">
        <f>Geral!C7</f>
        <v>36880.269999999997</v>
      </c>
      <c r="D6" s="5">
        <f>Geral!K7</f>
        <v>2872.99</v>
      </c>
      <c r="E6" s="60">
        <f>SUM(D6,C6)</f>
        <v>39753.259999999995</v>
      </c>
    </row>
    <row r="7" spans="1:5" x14ac:dyDescent="0.25">
      <c r="A7" s="58" t="s">
        <v>75</v>
      </c>
      <c r="B7" s="22" t="str">
        <f>Geral!A8</f>
        <v>La Fruta Açaí - Campinas Prado</v>
      </c>
      <c r="C7" s="59">
        <f>Geral!C8</f>
        <v>54910.61</v>
      </c>
      <c r="D7" s="5">
        <f>Geral!K8</f>
        <v>13199.86</v>
      </c>
      <c r="E7" s="60">
        <f t="shared" ref="E7:E11" si="0">SUM(D7,C7)</f>
        <v>68110.47</v>
      </c>
    </row>
    <row r="8" spans="1:5" x14ac:dyDescent="0.25">
      <c r="A8" s="58" t="s">
        <v>54</v>
      </c>
      <c r="B8" s="22" t="str">
        <f>Geral!A9</f>
        <v xml:space="preserve">La Fruta Açaí - Farroupilha </v>
      </c>
      <c r="C8" s="59">
        <f>Geral!C9</f>
        <v>18794.23</v>
      </c>
      <c r="D8" s="5">
        <f>Geral!K9</f>
        <v>0</v>
      </c>
      <c r="E8" s="60">
        <f t="shared" si="0"/>
        <v>18794.23</v>
      </c>
    </row>
    <row r="9" spans="1:5" x14ac:dyDescent="0.25">
      <c r="A9" s="58" t="s">
        <v>91</v>
      </c>
      <c r="B9" s="22" t="str">
        <f>Geral!A10</f>
        <v>La Fruta Açaí - Flores da Cunha</v>
      </c>
      <c r="C9" s="59">
        <f>Geral!C10</f>
        <v>585</v>
      </c>
      <c r="D9" s="5">
        <f>Geral!K10</f>
        <v>0</v>
      </c>
      <c r="E9" s="60">
        <f t="shared" si="0"/>
        <v>585</v>
      </c>
    </row>
    <row r="10" spans="1:5" x14ac:dyDescent="0.25">
      <c r="A10" s="58" t="s">
        <v>77</v>
      </c>
      <c r="B10" s="22" t="str">
        <f>Geral!A11</f>
        <v>La Fruta Açaí - Ijuí</v>
      </c>
      <c r="C10" s="59">
        <f>Geral!C11</f>
        <v>4206.04</v>
      </c>
      <c r="D10" s="5">
        <f>Geral!K11</f>
        <v>0</v>
      </c>
      <c r="E10" s="60">
        <f t="shared" si="0"/>
        <v>4206.04</v>
      </c>
    </row>
    <row r="11" spans="1:5" x14ac:dyDescent="0.25">
      <c r="A11" s="58" t="s">
        <v>89</v>
      </c>
      <c r="B11" s="22" t="str">
        <f>Geral!A12</f>
        <v>La Fruta Açaí - Interlagos</v>
      </c>
      <c r="C11" s="59">
        <f>Geral!C12</f>
        <v>2151.27</v>
      </c>
      <c r="D11" s="5">
        <f>Geral!K12</f>
        <v>153</v>
      </c>
      <c r="E11" s="60">
        <f t="shared" si="0"/>
        <v>2304.27</v>
      </c>
    </row>
    <row r="12" spans="1:5" x14ac:dyDescent="0.25">
      <c r="A12" s="58" t="s">
        <v>92</v>
      </c>
      <c r="B12" s="22" t="str">
        <f>Geral!A13</f>
        <v>La Fruta Açaí - Itajai</v>
      </c>
      <c r="C12" s="59">
        <f>Geral!C13</f>
        <v>27934.49</v>
      </c>
      <c r="D12" s="5">
        <f>Geral!K13</f>
        <v>0</v>
      </c>
      <c r="E12" s="60">
        <f t="shared" ref="E12:E38" si="1">SUM(D12,C12)</f>
        <v>27934.49</v>
      </c>
    </row>
    <row r="13" spans="1:5" x14ac:dyDescent="0.25">
      <c r="A13" s="58" t="s">
        <v>80</v>
      </c>
      <c r="B13" s="22" t="str">
        <f>Geral!A14</f>
        <v>La Fruta Açaí - Itapema</v>
      </c>
      <c r="C13" s="59">
        <f>Geral!C14</f>
        <v>62952.4</v>
      </c>
      <c r="D13" s="5">
        <f>Geral!K14</f>
        <v>0</v>
      </c>
      <c r="E13" s="60">
        <f t="shared" si="1"/>
        <v>62952.4</v>
      </c>
    </row>
    <row r="14" spans="1:5" x14ac:dyDescent="0.25">
      <c r="A14" s="58" t="s">
        <v>87</v>
      </c>
      <c r="B14" s="22" t="str">
        <f>Geral!A15</f>
        <v>La Fruta Açaí - Jataí</v>
      </c>
      <c r="C14" s="59">
        <f>Geral!C15</f>
        <v>28167.119999999999</v>
      </c>
      <c r="D14" s="5">
        <f>Geral!K15</f>
        <v>0</v>
      </c>
      <c r="E14" s="60">
        <f t="shared" si="1"/>
        <v>28167.119999999999</v>
      </c>
    </row>
    <row r="15" spans="1:5" x14ac:dyDescent="0.25">
      <c r="A15" s="58" t="s">
        <v>69</v>
      </c>
      <c r="B15" s="22" t="str">
        <f>Geral!A16</f>
        <v xml:space="preserve">La Fruta Açaí - Jundiaí </v>
      </c>
      <c r="C15" s="59">
        <f>Geral!C16</f>
        <v>38872.47</v>
      </c>
      <c r="D15" s="5">
        <f>Geral!K16</f>
        <v>0</v>
      </c>
      <c r="E15" s="60">
        <f t="shared" si="1"/>
        <v>38872.47</v>
      </c>
    </row>
    <row r="16" spans="1:5" x14ac:dyDescent="0.25">
      <c r="A16" s="58" t="s">
        <v>63</v>
      </c>
      <c r="B16" s="22" t="str">
        <f>Geral!A17</f>
        <v>La Fruta Açaí - Lajeado</v>
      </c>
      <c r="C16" s="59">
        <f>Geral!C17</f>
        <v>6563.75</v>
      </c>
      <c r="D16" s="5">
        <f>Geral!K17</f>
        <v>0</v>
      </c>
      <c r="E16" s="60">
        <f t="shared" si="1"/>
        <v>6563.75</v>
      </c>
    </row>
    <row r="17" spans="1:5" x14ac:dyDescent="0.25">
      <c r="A17" s="58" t="s">
        <v>88</v>
      </c>
      <c r="B17" s="22" t="str">
        <f>Geral!A18</f>
        <v>La Fruta Açaí - Mooca</v>
      </c>
      <c r="C17" s="59">
        <f>Geral!C18</f>
        <v>13060.35</v>
      </c>
      <c r="D17" s="5">
        <f>Geral!K18</f>
        <v>1696.39</v>
      </c>
      <c r="E17" s="60">
        <f t="shared" si="1"/>
        <v>14756.74</v>
      </c>
    </row>
    <row r="18" spans="1:5" x14ac:dyDescent="0.25">
      <c r="A18" s="58" t="s">
        <v>67</v>
      </c>
      <c r="B18" s="22" t="str">
        <f>Geral!A19</f>
        <v>La Fruta Açaí - Osasco</v>
      </c>
      <c r="C18" s="59">
        <f>Geral!C19</f>
        <v>46281.83</v>
      </c>
      <c r="D18" s="5">
        <f>Geral!K19</f>
        <v>634.80999999999995</v>
      </c>
      <c r="E18" s="60">
        <f t="shared" si="1"/>
        <v>46916.639999999999</v>
      </c>
    </row>
    <row r="19" spans="1:5" x14ac:dyDescent="0.25">
      <c r="A19" s="58" t="s">
        <v>82</v>
      </c>
      <c r="B19" s="22" t="str">
        <f>Geral!A21</f>
        <v>La Fruta Açaí - Pato Branco Centro</v>
      </c>
      <c r="C19" s="59">
        <f>Geral!C21</f>
        <v>6006.33</v>
      </c>
      <c r="D19" s="5">
        <f>Geral!K21</f>
        <v>0</v>
      </c>
      <c r="E19" s="60">
        <f t="shared" si="1"/>
        <v>6006.33</v>
      </c>
    </row>
    <row r="20" spans="1:5" x14ac:dyDescent="0.25">
      <c r="A20" s="58" t="s">
        <v>76</v>
      </c>
      <c r="B20" s="22" t="str">
        <f>Geral!A22</f>
        <v>La Fruta Açaí - Pato Branco Shopping</v>
      </c>
      <c r="C20" s="59">
        <f>Geral!C22</f>
        <v>0</v>
      </c>
      <c r="D20" s="5">
        <f>Geral!K22</f>
        <v>0</v>
      </c>
      <c r="E20" s="60">
        <f t="shared" si="1"/>
        <v>0</v>
      </c>
    </row>
    <row r="21" spans="1:5" x14ac:dyDescent="0.25">
      <c r="A21" s="58" t="s">
        <v>57</v>
      </c>
      <c r="B21" s="22" t="e">
        <f>Geral!#REF!</f>
        <v>#REF!</v>
      </c>
      <c r="C21" s="59" t="e">
        <f>Geral!#REF!</f>
        <v>#REF!</v>
      </c>
      <c r="D21" s="5" t="e">
        <f>Geral!#REF!</f>
        <v>#REF!</v>
      </c>
      <c r="E21" s="60" t="e">
        <f t="shared" si="1"/>
        <v>#REF!</v>
      </c>
    </row>
    <row r="22" spans="1:5" x14ac:dyDescent="0.25">
      <c r="A22" s="58" t="s">
        <v>93</v>
      </c>
      <c r="B22" s="22" t="str">
        <f>Geral!A23</f>
        <v>La Fruta Açai - Recreio/RJ</v>
      </c>
      <c r="C22" s="59">
        <f>Geral!C23</f>
        <v>17862.75</v>
      </c>
      <c r="D22" s="5">
        <f>Geral!K23</f>
        <v>3224.08</v>
      </c>
      <c r="E22" s="60">
        <f t="shared" si="1"/>
        <v>21086.83</v>
      </c>
    </row>
    <row r="23" spans="1:5" x14ac:dyDescent="0.25">
      <c r="A23" s="58" t="s">
        <v>84</v>
      </c>
      <c r="B23" s="22" t="str">
        <f>Geral!A24</f>
        <v>La Fruta Açai - Renascença/BH</v>
      </c>
      <c r="C23" s="59">
        <f>Geral!C24</f>
        <v>35956.53</v>
      </c>
      <c r="D23" s="5">
        <f>Geral!K24</f>
        <v>4639.0600000000004</v>
      </c>
      <c r="E23" s="60">
        <f t="shared" si="1"/>
        <v>40595.589999999997</v>
      </c>
    </row>
    <row r="24" spans="1:5" x14ac:dyDescent="0.25">
      <c r="A24" s="58" t="s">
        <v>94</v>
      </c>
      <c r="B24" s="22" t="str">
        <f>Geral!A25</f>
        <v>La Fruta Açaí - Rondonopolis</v>
      </c>
      <c r="C24" s="59">
        <f>Geral!C25</f>
        <v>3800.33</v>
      </c>
      <c r="D24" s="5">
        <f>Geral!K25</f>
        <v>0</v>
      </c>
      <c r="E24" s="60">
        <f t="shared" si="1"/>
        <v>3800.33</v>
      </c>
    </row>
    <row r="25" spans="1:5" x14ac:dyDescent="0.25">
      <c r="A25" s="58" t="s">
        <v>55</v>
      </c>
      <c r="B25" s="22" t="str">
        <f>Geral!A26</f>
        <v>La Fruta Açaí - Rosário do Sul</v>
      </c>
      <c r="C25" s="59">
        <f>Geral!C26</f>
        <v>5153.8100000000004</v>
      </c>
      <c r="D25" s="5">
        <f>Geral!K26</f>
        <v>0</v>
      </c>
      <c r="E25" s="60">
        <f t="shared" si="1"/>
        <v>5153.8100000000004</v>
      </c>
    </row>
    <row r="26" spans="1:5" x14ac:dyDescent="0.25">
      <c r="A26" s="58" t="s">
        <v>65</v>
      </c>
      <c r="B26" s="22" t="str">
        <f>Geral!A27</f>
        <v>La Fruta Açaí - Samambaia Norte</v>
      </c>
      <c r="C26" s="59">
        <f>Geral!C27</f>
        <v>25594.6</v>
      </c>
      <c r="D26" s="5">
        <f>Geral!K27</f>
        <v>0</v>
      </c>
      <c r="E26" s="60">
        <f t="shared" si="1"/>
        <v>25594.6</v>
      </c>
    </row>
    <row r="27" spans="1:5" x14ac:dyDescent="0.25">
      <c r="A27" s="58" t="s">
        <v>73</v>
      </c>
      <c r="B27" s="22" t="str">
        <f>Geral!A28</f>
        <v>La Fruta Açaí - Samambaia Sul</v>
      </c>
      <c r="C27" s="59">
        <f>Geral!C28</f>
        <v>18205.25</v>
      </c>
      <c r="D27" s="5">
        <f>Geral!K28</f>
        <v>0</v>
      </c>
      <c r="E27" s="60">
        <f t="shared" si="1"/>
        <v>18205.25</v>
      </c>
    </row>
    <row r="28" spans="1:5" x14ac:dyDescent="0.25">
      <c r="A28" s="58" t="s">
        <v>61</v>
      </c>
      <c r="B28" s="22" t="str">
        <f>Geral!A29</f>
        <v>La Fruta Açaí - Santa Cruz do Sul/RS</v>
      </c>
      <c r="C28" s="59">
        <f>Geral!C29</f>
        <v>7436.68</v>
      </c>
      <c r="D28" s="5">
        <f>Geral!K29</f>
        <v>0</v>
      </c>
      <c r="E28" s="60">
        <f t="shared" si="1"/>
        <v>7436.68</v>
      </c>
    </row>
    <row r="29" spans="1:5" x14ac:dyDescent="0.25">
      <c r="A29" s="58" t="s">
        <v>81</v>
      </c>
      <c r="B29" s="22" t="str">
        <f>Geral!A30</f>
        <v>La Fruta Açaí - Santa Maria</v>
      </c>
      <c r="C29" s="59">
        <f>Geral!C30</f>
        <v>44226.36</v>
      </c>
      <c r="D29" s="5">
        <f>Geral!K30</f>
        <v>0</v>
      </c>
      <c r="E29" s="60">
        <f t="shared" si="1"/>
        <v>44226.36</v>
      </c>
    </row>
    <row r="30" spans="1:5" x14ac:dyDescent="0.25">
      <c r="A30" s="58" t="s">
        <v>83</v>
      </c>
      <c r="B30" s="22" t="str">
        <f>Geral!A31</f>
        <v>La Fruta Açaí - Santana do Livramento</v>
      </c>
      <c r="C30" s="59">
        <f>Geral!C31</f>
        <v>33146.89</v>
      </c>
      <c r="D30" s="5">
        <f>Geral!K31</f>
        <v>0</v>
      </c>
      <c r="E30" s="60">
        <f t="shared" si="1"/>
        <v>33146.89</v>
      </c>
    </row>
    <row r="31" spans="1:5" x14ac:dyDescent="0.25">
      <c r="A31" s="58" t="s">
        <v>71</v>
      </c>
      <c r="B31" s="22" t="str">
        <f>Geral!A32</f>
        <v>La Fruta Açaí - São Bernardo do Campo</v>
      </c>
      <c r="C31" s="59">
        <f>Geral!C32</f>
        <v>12391.65</v>
      </c>
      <c r="D31" s="5">
        <f>Geral!K32</f>
        <v>1870.61</v>
      </c>
      <c r="E31" s="60">
        <f t="shared" si="1"/>
        <v>14262.26</v>
      </c>
    </row>
    <row r="32" spans="1:5" x14ac:dyDescent="0.25">
      <c r="A32" s="58" t="s">
        <v>78</v>
      </c>
      <c r="B32" s="22" t="str">
        <f>Geral!A33</f>
        <v>La Fruta Açaí - São Gabriel</v>
      </c>
      <c r="C32" s="59">
        <f>Geral!C33</f>
        <v>3746.38</v>
      </c>
      <c r="D32" s="5">
        <f>Geral!K33</f>
        <v>0</v>
      </c>
      <c r="E32" s="60">
        <f t="shared" si="1"/>
        <v>3746.38</v>
      </c>
    </row>
    <row r="33" spans="1:5" x14ac:dyDescent="0.25">
      <c r="A33" s="58" t="s">
        <v>79</v>
      </c>
      <c r="B33" s="22" t="str">
        <f>Geral!A34</f>
        <v>La Fruta Açaí - São José do Rio Preto</v>
      </c>
      <c r="C33" s="59">
        <f>Geral!C34</f>
        <v>31060.75</v>
      </c>
      <c r="D33" s="5">
        <f>Geral!K34</f>
        <v>0</v>
      </c>
      <c r="E33" s="60">
        <f t="shared" si="1"/>
        <v>31060.75</v>
      </c>
    </row>
    <row r="34" spans="1:5" x14ac:dyDescent="0.25">
      <c r="A34" s="58" t="s">
        <v>62</v>
      </c>
      <c r="B34" s="22" t="str">
        <f>Geral!A35</f>
        <v>La Fruta Açaí - Tatuapé</v>
      </c>
      <c r="C34" s="59">
        <f>Geral!C35</f>
        <v>14201.71</v>
      </c>
      <c r="D34" s="5">
        <f>Geral!K35</f>
        <v>1241.17</v>
      </c>
      <c r="E34" s="60">
        <f t="shared" si="1"/>
        <v>15442.88</v>
      </c>
    </row>
    <row r="35" spans="1:5" x14ac:dyDescent="0.25">
      <c r="A35" s="58" t="s">
        <v>64</v>
      </c>
      <c r="B35" s="22" t="str">
        <f>Geral!A36</f>
        <v>La Fruta Açaí - Tremembé</v>
      </c>
      <c r="C35" s="59">
        <f>Geral!C36</f>
        <v>3216.23</v>
      </c>
      <c r="D35" s="5">
        <f>Geral!K36</f>
        <v>1092.96</v>
      </c>
      <c r="E35" s="60">
        <f t="shared" si="1"/>
        <v>4309.1900000000005</v>
      </c>
    </row>
    <row r="36" spans="1:5" x14ac:dyDescent="0.25">
      <c r="A36" s="58" t="s">
        <v>74</v>
      </c>
      <c r="B36" s="22" t="str">
        <f>Geral!A37</f>
        <v>La Fruta Açaí - Uruguaiana</v>
      </c>
      <c r="C36" s="59">
        <f>Geral!C37</f>
        <v>34304.199999999997</v>
      </c>
      <c r="D36" s="5">
        <f>Geral!K37</f>
        <v>0</v>
      </c>
      <c r="E36" s="60">
        <f t="shared" si="1"/>
        <v>34304.199999999997</v>
      </c>
    </row>
    <row r="37" spans="1:5" x14ac:dyDescent="0.25">
      <c r="A37" s="58" t="s">
        <v>86</v>
      </c>
      <c r="B37" s="22" t="str">
        <f>Geral!A38</f>
        <v>La Fruta Açaí - Vacaria</v>
      </c>
      <c r="C37" s="59">
        <f>Geral!C38</f>
        <v>0</v>
      </c>
      <c r="D37" s="5">
        <f>Geral!K38</f>
        <v>0</v>
      </c>
      <c r="E37" s="60">
        <f t="shared" si="1"/>
        <v>0</v>
      </c>
    </row>
    <row r="38" spans="1:5" x14ac:dyDescent="0.25">
      <c r="A38" s="58" t="s">
        <v>70</v>
      </c>
      <c r="B38" s="22" t="str">
        <f>Geral!A39</f>
        <v>La Fruta Açaí - Vila Mariana</v>
      </c>
      <c r="C38" s="59">
        <f>Geral!C39</f>
        <v>33664.46</v>
      </c>
      <c r="D38" s="5">
        <f>Geral!K39</f>
        <v>5302.8</v>
      </c>
      <c r="E38" s="60">
        <f t="shared" si="1"/>
        <v>38967.26</v>
      </c>
    </row>
    <row r="39" spans="1:5" x14ac:dyDescent="0.25">
      <c r="A39" s="58"/>
      <c r="B39" s="22"/>
      <c r="C39" s="59"/>
      <c r="D39" s="5"/>
      <c r="E39" s="60"/>
    </row>
    <row r="40" spans="1:5" x14ac:dyDescent="0.25">
      <c r="A40" s="58"/>
      <c r="B40" s="22"/>
      <c r="C40" s="59"/>
      <c r="D40" s="5"/>
      <c r="E40" s="60"/>
    </row>
    <row r="41" spans="1:5" x14ac:dyDescent="0.25">
      <c r="A41" s="58"/>
      <c r="B41" s="22"/>
      <c r="C41" s="59"/>
      <c r="D41" s="5"/>
      <c r="E41" s="60"/>
    </row>
    <row r="42" spans="1:5" x14ac:dyDescent="0.25">
      <c r="A42" s="58"/>
      <c r="B42" s="22"/>
      <c r="C42" s="59"/>
      <c r="D42" s="5"/>
      <c r="E42" s="60"/>
    </row>
    <row r="43" spans="1:5" x14ac:dyDescent="0.25">
      <c r="A43" s="58"/>
      <c r="B43" s="22"/>
      <c r="C43" s="59"/>
      <c r="D43" s="5"/>
      <c r="E43" s="60"/>
    </row>
    <row r="44" spans="1:5" x14ac:dyDescent="0.25">
      <c r="A44" s="58"/>
      <c r="B44" s="22"/>
      <c r="C44" s="59"/>
      <c r="D44" s="5"/>
      <c r="E44" s="60"/>
    </row>
  </sheetData>
  <autoFilter ref="A1:E1">
    <sortState ref="A2:E44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8" workbookViewId="0">
      <selection activeCell="E3" sqref="E3:E45"/>
    </sheetView>
  </sheetViews>
  <sheetFormatPr defaultRowHeight="15" x14ac:dyDescent="0.25"/>
  <cols>
    <col min="1" max="1" width="6" customWidth="1"/>
    <col min="2" max="2" width="29.28515625" customWidth="1"/>
    <col min="3" max="5" width="13.7109375" customWidth="1"/>
    <col min="6" max="6" width="13.85546875" customWidth="1"/>
  </cols>
  <sheetData>
    <row r="1" spans="1:6" ht="18.75" x14ac:dyDescent="0.3">
      <c r="A1" s="93" t="s">
        <v>6</v>
      </c>
      <c r="B1" s="94"/>
      <c r="C1" s="94"/>
      <c r="D1" s="94"/>
      <c r="E1" s="94"/>
      <c r="F1" s="95"/>
    </row>
    <row r="2" spans="1:6" x14ac:dyDescent="0.25">
      <c r="A2" s="96" t="s">
        <v>1</v>
      </c>
      <c r="B2" s="97"/>
      <c r="C2" s="61" t="s">
        <v>100</v>
      </c>
      <c r="D2" s="62" t="s">
        <v>97</v>
      </c>
      <c r="E2" s="61" t="s">
        <v>51</v>
      </c>
      <c r="F2" s="63" t="s">
        <v>101</v>
      </c>
    </row>
    <row r="3" spans="1:6" x14ac:dyDescent="0.25">
      <c r="A3" s="64" t="s">
        <v>63</v>
      </c>
      <c r="B3" s="65" t="str">
        <f>Geral!A3</f>
        <v>La Fruta Açaí - Bagé</v>
      </c>
      <c r="C3" s="66">
        <f>Geral!G3</f>
        <v>0</v>
      </c>
      <c r="D3" s="66">
        <f>Geral!M3</f>
        <v>0</v>
      </c>
      <c r="E3" s="67">
        <f t="shared" ref="E3:E39" si="0">SUM(D3,C3,)</f>
        <v>0</v>
      </c>
      <c r="F3" s="68">
        <f t="shared" ref="F3:F39" si="1">E3*5%</f>
        <v>0</v>
      </c>
    </row>
    <row r="4" spans="1:6" x14ac:dyDescent="0.25">
      <c r="A4" s="64" t="s">
        <v>64</v>
      </c>
      <c r="B4" s="65" t="str">
        <f>Geral!A4</f>
        <v>La Fruta Açaí - Bento Gonçalves</v>
      </c>
      <c r="C4" s="66">
        <f>Geral!G4</f>
        <v>327.72</v>
      </c>
      <c r="D4" s="66">
        <f>Geral!M4</f>
        <v>0</v>
      </c>
      <c r="E4" s="69">
        <f t="shared" si="0"/>
        <v>327.72</v>
      </c>
      <c r="F4" s="70">
        <f t="shared" si="1"/>
        <v>16.386000000000003</v>
      </c>
    </row>
    <row r="5" spans="1:6" x14ac:dyDescent="0.25">
      <c r="A5" s="64" t="s">
        <v>65</v>
      </c>
      <c r="B5" s="65" t="str">
        <f>Geral!A5</f>
        <v xml:space="preserve">La Fruta Açaí - BH Buritis </v>
      </c>
      <c r="C5" s="66">
        <f>Geral!G5</f>
        <v>0</v>
      </c>
      <c r="D5" s="66">
        <f>Geral!M5</f>
        <v>0</v>
      </c>
      <c r="E5" s="69">
        <f t="shared" si="0"/>
        <v>0</v>
      </c>
      <c r="F5" s="70">
        <f t="shared" si="1"/>
        <v>0</v>
      </c>
    </row>
    <row r="6" spans="1:6" x14ac:dyDescent="0.25">
      <c r="A6" s="64" t="s">
        <v>66</v>
      </c>
      <c r="B6" s="65" t="str">
        <f>Geral!A6</f>
        <v>La Fruta Açaí - Bom Fim/ POA</v>
      </c>
      <c r="C6" s="66">
        <f>Geral!G6</f>
        <v>6441.46</v>
      </c>
      <c r="D6" s="66">
        <f>Geral!M6</f>
        <v>0</v>
      </c>
      <c r="E6" s="69">
        <f t="shared" si="0"/>
        <v>6441.46</v>
      </c>
      <c r="F6" s="70">
        <f t="shared" si="1"/>
        <v>322.07300000000004</v>
      </c>
    </row>
    <row r="7" spans="1:6" x14ac:dyDescent="0.25">
      <c r="A7" s="64" t="s">
        <v>67</v>
      </c>
      <c r="B7" s="65" t="str">
        <f>Geral!A7</f>
        <v>La Fruta Açaí - Botafogo RJ</v>
      </c>
      <c r="C7" s="66">
        <f>Geral!G7</f>
        <v>799.8</v>
      </c>
      <c r="D7" s="66">
        <f>Geral!M7</f>
        <v>0</v>
      </c>
      <c r="E7" s="69">
        <f t="shared" si="0"/>
        <v>799.8</v>
      </c>
      <c r="F7" s="70">
        <f t="shared" si="1"/>
        <v>39.99</v>
      </c>
    </row>
    <row r="8" spans="1:6" x14ac:dyDescent="0.25">
      <c r="A8" s="64" t="s">
        <v>68</v>
      </c>
      <c r="B8" s="65" t="str">
        <f>Geral!A8</f>
        <v>La Fruta Açaí - Campinas Prado</v>
      </c>
      <c r="C8" s="66">
        <f>Geral!G8</f>
        <v>3314.27</v>
      </c>
      <c r="D8" s="66">
        <f>Geral!M8</f>
        <v>1840.56</v>
      </c>
      <c r="E8" s="69">
        <f t="shared" si="0"/>
        <v>5154.83</v>
      </c>
      <c r="F8" s="70">
        <f t="shared" si="1"/>
        <v>257.74150000000003</v>
      </c>
    </row>
    <row r="9" spans="1:6" x14ac:dyDescent="0.25">
      <c r="A9" s="64" t="s">
        <v>69</v>
      </c>
      <c r="B9" s="65" t="str">
        <f>Geral!A9</f>
        <v xml:space="preserve">La Fruta Açaí - Farroupilha </v>
      </c>
      <c r="C9" s="66">
        <f>Geral!G9</f>
        <v>1406.5</v>
      </c>
      <c r="D9" s="66">
        <f>Geral!M9</f>
        <v>0</v>
      </c>
      <c r="E9" s="69">
        <f t="shared" si="0"/>
        <v>1406.5</v>
      </c>
      <c r="F9" s="70">
        <f t="shared" si="1"/>
        <v>70.325000000000003</v>
      </c>
    </row>
    <row r="10" spans="1:6" x14ac:dyDescent="0.25">
      <c r="A10" s="64" t="s">
        <v>70</v>
      </c>
      <c r="B10" s="65" t="str">
        <f>Geral!A10</f>
        <v>La Fruta Açaí - Flores da Cunha</v>
      </c>
      <c r="C10" s="66">
        <f>Geral!G10</f>
        <v>0</v>
      </c>
      <c r="D10" s="66">
        <f>Geral!M10</f>
        <v>0</v>
      </c>
      <c r="E10" s="69">
        <f t="shared" si="0"/>
        <v>0</v>
      </c>
      <c r="F10" s="70">
        <f t="shared" si="1"/>
        <v>0</v>
      </c>
    </row>
    <row r="11" spans="1:6" x14ac:dyDescent="0.25">
      <c r="A11" s="64" t="s">
        <v>71</v>
      </c>
      <c r="B11" s="65" t="str">
        <f>Geral!A11</f>
        <v>La Fruta Açaí - Ijuí</v>
      </c>
      <c r="C11" s="66">
        <f>Geral!G11</f>
        <v>0</v>
      </c>
      <c r="D11" s="66">
        <f>Geral!M11</f>
        <v>0</v>
      </c>
      <c r="E11" s="69">
        <f t="shared" si="0"/>
        <v>0</v>
      </c>
      <c r="F11" s="70">
        <f t="shared" si="1"/>
        <v>0</v>
      </c>
    </row>
    <row r="12" spans="1:6" x14ac:dyDescent="0.25">
      <c r="A12" s="64" t="s">
        <v>72</v>
      </c>
      <c r="B12" s="65" t="str">
        <f>Geral!A12</f>
        <v>La Fruta Açaí - Interlagos</v>
      </c>
      <c r="C12" s="66">
        <f>Geral!G12</f>
        <v>0</v>
      </c>
      <c r="D12" s="66">
        <f>Geral!M12</f>
        <v>0</v>
      </c>
      <c r="E12" s="69">
        <f t="shared" si="0"/>
        <v>0</v>
      </c>
      <c r="F12" s="70">
        <f t="shared" si="1"/>
        <v>0</v>
      </c>
    </row>
    <row r="13" spans="1:6" x14ac:dyDescent="0.25">
      <c r="A13" s="64" t="s">
        <v>54</v>
      </c>
      <c r="B13" s="65" t="str">
        <f>Geral!A13</f>
        <v>La Fruta Açaí - Itajai</v>
      </c>
      <c r="C13" s="66">
        <f>Geral!G13</f>
        <v>0</v>
      </c>
      <c r="D13" s="66">
        <f>Geral!M13</f>
        <v>0</v>
      </c>
      <c r="E13" s="69">
        <f t="shared" si="0"/>
        <v>0</v>
      </c>
      <c r="F13" s="70">
        <f t="shared" si="1"/>
        <v>0</v>
      </c>
    </row>
    <row r="14" spans="1:6" x14ac:dyDescent="0.25">
      <c r="A14" s="64" t="s">
        <v>73</v>
      </c>
      <c r="B14" s="65" t="str">
        <f>Geral!A14</f>
        <v>La Fruta Açaí - Itapema</v>
      </c>
      <c r="C14" s="66">
        <f>Geral!G14</f>
        <v>0</v>
      </c>
      <c r="D14" s="66">
        <f>Geral!M14</f>
        <v>0</v>
      </c>
      <c r="E14" s="69">
        <f t="shared" si="0"/>
        <v>0</v>
      </c>
      <c r="F14" s="70">
        <f t="shared" si="1"/>
        <v>0</v>
      </c>
    </row>
    <row r="15" spans="1:6" x14ac:dyDescent="0.25">
      <c r="A15" s="64" t="s">
        <v>74</v>
      </c>
      <c r="B15" s="65" t="str">
        <f>Geral!A15</f>
        <v>La Fruta Açaí - Jataí</v>
      </c>
      <c r="C15" s="66">
        <f>Geral!G15</f>
        <v>0</v>
      </c>
      <c r="D15" s="66">
        <f>Geral!M15</f>
        <v>0</v>
      </c>
      <c r="E15" s="69">
        <f t="shared" si="0"/>
        <v>0</v>
      </c>
      <c r="F15" s="70">
        <f t="shared" si="1"/>
        <v>0</v>
      </c>
    </row>
    <row r="16" spans="1:6" x14ac:dyDescent="0.25">
      <c r="A16" s="64" t="s">
        <v>75</v>
      </c>
      <c r="B16" s="65" t="str">
        <f>Geral!A16</f>
        <v xml:space="preserve">La Fruta Açaí - Jundiaí </v>
      </c>
      <c r="C16" s="66">
        <f>Geral!G16</f>
        <v>1192.95</v>
      </c>
      <c r="D16" s="66">
        <f>Geral!M16</f>
        <v>0</v>
      </c>
      <c r="E16" s="69">
        <f t="shared" si="0"/>
        <v>1192.95</v>
      </c>
      <c r="F16" s="70">
        <f t="shared" si="1"/>
        <v>59.647500000000008</v>
      </c>
    </row>
    <row r="17" spans="1:6" x14ac:dyDescent="0.25">
      <c r="A17" s="64" t="s">
        <v>76</v>
      </c>
      <c r="B17" s="65" t="str">
        <f>Geral!A17</f>
        <v>La Fruta Açaí - Lajeado</v>
      </c>
      <c r="C17" s="66">
        <f>Geral!G17</f>
        <v>2705.77</v>
      </c>
      <c r="D17" s="66">
        <f>Geral!M17</f>
        <v>0</v>
      </c>
      <c r="E17" s="69">
        <f t="shared" si="0"/>
        <v>2705.77</v>
      </c>
      <c r="F17" s="70">
        <f t="shared" si="1"/>
        <v>135.2885</v>
      </c>
    </row>
    <row r="18" spans="1:6" x14ac:dyDescent="0.25">
      <c r="A18" s="64" t="s">
        <v>77</v>
      </c>
      <c r="B18" s="65" t="str">
        <f>Geral!A18</f>
        <v>La Fruta Açaí - Mooca</v>
      </c>
      <c r="C18" s="66">
        <f>Geral!G18</f>
        <v>7595.41</v>
      </c>
      <c r="D18" s="66">
        <f>Geral!M18</f>
        <v>344.3</v>
      </c>
      <c r="E18" s="69">
        <f t="shared" si="0"/>
        <v>7939.71</v>
      </c>
      <c r="F18" s="70">
        <f t="shared" si="1"/>
        <v>396.9855</v>
      </c>
    </row>
    <row r="19" spans="1:6" x14ac:dyDescent="0.25">
      <c r="A19" s="64" t="s">
        <v>78</v>
      </c>
      <c r="B19" s="65" t="str">
        <f>Geral!A19</f>
        <v>La Fruta Açaí - Osasco</v>
      </c>
      <c r="C19" s="66">
        <f>Geral!G19</f>
        <v>9532.58</v>
      </c>
      <c r="D19" s="66">
        <f>Geral!M19</f>
        <v>8.52</v>
      </c>
      <c r="E19" s="69">
        <f t="shared" si="0"/>
        <v>9541.1</v>
      </c>
      <c r="F19" s="70">
        <f t="shared" si="1"/>
        <v>477.05500000000006</v>
      </c>
    </row>
    <row r="20" spans="1:6" x14ac:dyDescent="0.25">
      <c r="A20" s="64" t="s">
        <v>79</v>
      </c>
      <c r="B20" s="65" t="str">
        <f>Geral!A21</f>
        <v>La Fruta Açaí - Pato Branco Centro</v>
      </c>
      <c r="C20" s="66">
        <f>Geral!G21</f>
        <v>569.33000000000004</v>
      </c>
      <c r="D20" s="66">
        <f>Geral!M21</f>
        <v>0</v>
      </c>
      <c r="E20" s="69">
        <f t="shared" si="0"/>
        <v>569.33000000000004</v>
      </c>
      <c r="F20" s="70">
        <f t="shared" si="1"/>
        <v>28.466500000000003</v>
      </c>
    </row>
    <row r="21" spans="1:6" x14ac:dyDescent="0.25">
      <c r="A21" s="64" t="s">
        <v>80</v>
      </c>
      <c r="B21" s="65" t="str">
        <f>Geral!A22</f>
        <v>La Fruta Açaí - Pato Branco Shopping</v>
      </c>
      <c r="C21" s="66">
        <f>Geral!G22</f>
        <v>0</v>
      </c>
      <c r="D21" s="66">
        <f>Geral!M22</f>
        <v>0</v>
      </c>
      <c r="E21" s="69">
        <f t="shared" si="0"/>
        <v>0</v>
      </c>
      <c r="F21" s="70">
        <f t="shared" si="1"/>
        <v>0</v>
      </c>
    </row>
    <row r="22" spans="1:6" x14ac:dyDescent="0.25">
      <c r="A22" s="64" t="s">
        <v>81</v>
      </c>
      <c r="B22" s="65" t="e">
        <f>Geral!#REF!</f>
        <v>#REF!</v>
      </c>
      <c r="C22" s="66" t="e">
        <f>Geral!#REF!</f>
        <v>#REF!</v>
      </c>
      <c r="D22" s="66" t="e">
        <f>Geral!#REF!</f>
        <v>#REF!</v>
      </c>
      <c r="E22" s="69" t="e">
        <f t="shared" si="0"/>
        <v>#REF!</v>
      </c>
      <c r="F22" s="70" t="e">
        <f t="shared" si="1"/>
        <v>#REF!</v>
      </c>
    </row>
    <row r="23" spans="1:6" x14ac:dyDescent="0.25">
      <c r="A23" s="64" t="s">
        <v>82</v>
      </c>
      <c r="B23" s="65" t="str">
        <f>Geral!A23</f>
        <v>La Fruta Açai - Recreio/RJ</v>
      </c>
      <c r="C23" s="66">
        <f>Geral!G23</f>
        <v>1548.69</v>
      </c>
      <c r="D23" s="66">
        <f>Geral!M23</f>
        <v>88.12</v>
      </c>
      <c r="E23" s="69">
        <f t="shared" si="0"/>
        <v>1636.81</v>
      </c>
      <c r="F23" s="70">
        <f t="shared" si="1"/>
        <v>81.840500000000006</v>
      </c>
    </row>
    <row r="24" spans="1:6" x14ac:dyDescent="0.25">
      <c r="A24" s="64" t="s">
        <v>55</v>
      </c>
      <c r="B24" s="65" t="str">
        <f>Geral!A24</f>
        <v>La Fruta Açai - Renascença/BH</v>
      </c>
      <c r="C24" s="66">
        <f>Geral!G24</f>
        <v>1873.87</v>
      </c>
      <c r="D24" s="66">
        <f>Geral!M24</f>
        <v>0</v>
      </c>
      <c r="E24" s="69">
        <f t="shared" si="0"/>
        <v>1873.87</v>
      </c>
      <c r="F24" s="70">
        <f t="shared" si="1"/>
        <v>93.6935</v>
      </c>
    </row>
    <row r="25" spans="1:6" x14ac:dyDescent="0.25">
      <c r="A25" s="64" t="s">
        <v>83</v>
      </c>
      <c r="B25" s="65" t="str">
        <f>Geral!A25</f>
        <v>La Fruta Açaí - Rondonopolis</v>
      </c>
      <c r="C25" s="66">
        <f>Geral!G25</f>
        <v>3435.33</v>
      </c>
      <c r="D25" s="66">
        <f>Geral!M25</f>
        <v>0</v>
      </c>
      <c r="E25" s="69">
        <f t="shared" si="0"/>
        <v>3435.33</v>
      </c>
      <c r="F25" s="70">
        <f t="shared" si="1"/>
        <v>171.76650000000001</v>
      </c>
    </row>
    <row r="26" spans="1:6" x14ac:dyDescent="0.25">
      <c r="A26" s="64" t="s">
        <v>84</v>
      </c>
      <c r="B26" s="65" t="str">
        <f>Geral!A26</f>
        <v>La Fruta Açaí - Rosário do Sul</v>
      </c>
      <c r="C26" s="66">
        <f>Geral!G26</f>
        <v>0</v>
      </c>
      <c r="D26" s="66">
        <f>Geral!M26</f>
        <v>0</v>
      </c>
      <c r="E26" s="69">
        <f t="shared" si="0"/>
        <v>0</v>
      </c>
      <c r="F26" s="70">
        <f t="shared" si="1"/>
        <v>0</v>
      </c>
    </row>
    <row r="27" spans="1:6" x14ac:dyDescent="0.25">
      <c r="A27" s="64" t="s">
        <v>85</v>
      </c>
      <c r="B27" s="65" t="str">
        <f>Geral!A27</f>
        <v>La Fruta Açaí - Samambaia Norte</v>
      </c>
      <c r="C27" s="66">
        <f>Geral!G27</f>
        <v>0</v>
      </c>
      <c r="D27" s="66">
        <f>Geral!M27</f>
        <v>0</v>
      </c>
      <c r="E27" s="69">
        <f t="shared" si="0"/>
        <v>0</v>
      </c>
      <c r="F27" s="70">
        <f t="shared" si="1"/>
        <v>0</v>
      </c>
    </row>
    <row r="28" spans="1:6" x14ac:dyDescent="0.25">
      <c r="A28" s="64" t="s">
        <v>86</v>
      </c>
      <c r="B28" s="65" t="str">
        <f>Geral!A28</f>
        <v>La Fruta Açaí - Samambaia Sul</v>
      </c>
      <c r="C28" s="66">
        <f>Geral!G28</f>
        <v>0</v>
      </c>
      <c r="D28" s="66">
        <f>Geral!M28</f>
        <v>0</v>
      </c>
      <c r="E28" s="69">
        <f t="shared" si="0"/>
        <v>0</v>
      </c>
      <c r="F28" s="70">
        <f t="shared" si="1"/>
        <v>0</v>
      </c>
    </row>
    <row r="29" spans="1:6" x14ac:dyDescent="0.25">
      <c r="A29" s="64" t="s">
        <v>87</v>
      </c>
      <c r="B29" s="65" t="str">
        <f>Geral!A29</f>
        <v>La Fruta Açaí - Santa Cruz do Sul/RS</v>
      </c>
      <c r="C29" s="66">
        <f>Geral!G29</f>
        <v>0</v>
      </c>
      <c r="D29" s="66">
        <f>Geral!M29</f>
        <v>0</v>
      </c>
      <c r="E29" s="69">
        <f t="shared" si="0"/>
        <v>0</v>
      </c>
      <c r="F29" s="70">
        <f t="shared" si="1"/>
        <v>0</v>
      </c>
    </row>
    <row r="30" spans="1:6" x14ac:dyDescent="0.25">
      <c r="A30" s="64" t="s">
        <v>88</v>
      </c>
      <c r="B30" s="65" t="str">
        <f>Geral!A30</f>
        <v>La Fruta Açaí - Santa Maria</v>
      </c>
      <c r="C30" s="66">
        <f>Geral!G30</f>
        <v>1906.54</v>
      </c>
      <c r="D30" s="66">
        <f>Geral!M30</f>
        <v>0</v>
      </c>
      <c r="E30" s="69">
        <f t="shared" si="0"/>
        <v>1906.54</v>
      </c>
      <c r="F30" s="70">
        <f t="shared" si="1"/>
        <v>95.326999999999998</v>
      </c>
    </row>
    <row r="31" spans="1:6" x14ac:dyDescent="0.25">
      <c r="A31" s="64" t="s">
        <v>89</v>
      </c>
      <c r="B31" s="65" t="str">
        <f>Geral!A31</f>
        <v>La Fruta Açaí - Santana do Livramento</v>
      </c>
      <c r="C31" s="66">
        <f>Geral!G31</f>
        <v>1116.29</v>
      </c>
      <c r="D31" s="66">
        <f>Geral!M31</f>
        <v>0</v>
      </c>
      <c r="E31" s="69">
        <f t="shared" si="0"/>
        <v>1116.29</v>
      </c>
      <c r="F31" s="70">
        <f t="shared" si="1"/>
        <v>55.814500000000002</v>
      </c>
    </row>
    <row r="32" spans="1:6" x14ac:dyDescent="0.25">
      <c r="A32" s="64" t="s">
        <v>90</v>
      </c>
      <c r="B32" s="65" t="str">
        <f>Geral!A32</f>
        <v>La Fruta Açaí - São Bernardo do Campo</v>
      </c>
      <c r="C32" s="66">
        <f>Geral!G32</f>
        <v>424.9</v>
      </c>
      <c r="D32" s="66">
        <f>Geral!M32</f>
        <v>214.94</v>
      </c>
      <c r="E32" s="69">
        <f t="shared" si="0"/>
        <v>639.83999999999992</v>
      </c>
      <c r="F32" s="70">
        <f t="shared" si="1"/>
        <v>31.991999999999997</v>
      </c>
    </row>
    <row r="33" spans="1:6" x14ac:dyDescent="0.25">
      <c r="A33" s="64" t="s">
        <v>91</v>
      </c>
      <c r="B33" s="65" t="str">
        <f>Geral!A33</f>
        <v>La Fruta Açaí - São Gabriel</v>
      </c>
      <c r="C33" s="66">
        <f>Geral!G33</f>
        <v>0</v>
      </c>
      <c r="D33" s="66">
        <f>Geral!M33</f>
        <v>0</v>
      </c>
      <c r="E33" s="69">
        <f t="shared" si="0"/>
        <v>0</v>
      </c>
      <c r="F33" s="70">
        <f t="shared" si="1"/>
        <v>0</v>
      </c>
    </row>
    <row r="34" spans="1:6" x14ac:dyDescent="0.25">
      <c r="A34" s="64" t="s">
        <v>92</v>
      </c>
      <c r="B34" s="65" t="str">
        <f>Geral!A34</f>
        <v>La Fruta Açaí - São José do Rio Preto</v>
      </c>
      <c r="C34" s="66">
        <f>Geral!G34</f>
        <v>2414.88</v>
      </c>
      <c r="D34" s="66">
        <f>Geral!M34</f>
        <v>0</v>
      </c>
      <c r="E34" s="69">
        <f t="shared" si="0"/>
        <v>2414.88</v>
      </c>
      <c r="F34" s="70">
        <f t="shared" si="1"/>
        <v>120.74400000000001</v>
      </c>
    </row>
    <row r="35" spans="1:6" x14ac:dyDescent="0.25">
      <c r="A35" s="64" t="s">
        <v>56</v>
      </c>
      <c r="B35" s="65" t="str">
        <f>Geral!A35</f>
        <v>La Fruta Açaí - Tatuapé</v>
      </c>
      <c r="C35" s="66">
        <f>Geral!G35</f>
        <v>2847.17</v>
      </c>
      <c r="D35" s="66">
        <f>Geral!M35</f>
        <v>332</v>
      </c>
      <c r="E35" s="69">
        <f t="shared" si="0"/>
        <v>3179.17</v>
      </c>
      <c r="F35" s="70">
        <f t="shared" si="1"/>
        <v>158.95850000000002</v>
      </c>
    </row>
    <row r="36" spans="1:6" x14ac:dyDescent="0.25">
      <c r="A36" s="64" t="s">
        <v>93</v>
      </c>
      <c r="B36" s="65" t="str">
        <f>Geral!A36</f>
        <v>La Fruta Açaí - Tremembé</v>
      </c>
      <c r="C36" s="66">
        <f>Geral!G36</f>
        <v>3239.1</v>
      </c>
      <c r="D36" s="66">
        <f>Geral!M36</f>
        <v>2019.79</v>
      </c>
      <c r="E36" s="69">
        <f t="shared" si="0"/>
        <v>5258.8899999999994</v>
      </c>
      <c r="F36" s="70">
        <f t="shared" si="1"/>
        <v>262.94450000000001</v>
      </c>
    </row>
    <row r="37" spans="1:6" x14ac:dyDescent="0.25">
      <c r="A37" s="64" t="s">
        <v>94</v>
      </c>
      <c r="B37" s="65" t="str">
        <f>Geral!A37</f>
        <v>La Fruta Açaí - Uruguaiana</v>
      </c>
      <c r="C37" s="66">
        <f>Geral!G37</f>
        <v>1315.26</v>
      </c>
      <c r="D37" s="66">
        <f>Geral!M37</f>
        <v>0</v>
      </c>
      <c r="E37" s="69">
        <f t="shared" si="0"/>
        <v>1315.26</v>
      </c>
      <c r="F37" s="70">
        <f t="shared" si="1"/>
        <v>65.763000000000005</v>
      </c>
    </row>
    <row r="38" spans="1:6" x14ac:dyDescent="0.25">
      <c r="A38" s="64" t="s">
        <v>95</v>
      </c>
      <c r="B38" s="65" t="str">
        <f>Geral!A38</f>
        <v>La Fruta Açaí - Vacaria</v>
      </c>
      <c r="C38" s="66">
        <f>Geral!G38</f>
        <v>0</v>
      </c>
      <c r="D38" s="66">
        <f>Geral!M38</f>
        <v>0</v>
      </c>
      <c r="E38" s="69">
        <f t="shared" si="0"/>
        <v>0</v>
      </c>
      <c r="F38" s="70">
        <f t="shared" si="1"/>
        <v>0</v>
      </c>
    </row>
    <row r="39" spans="1:6" x14ac:dyDescent="0.25">
      <c r="A39" s="64" t="s">
        <v>96</v>
      </c>
      <c r="B39" s="65" t="str">
        <f>Geral!A39</f>
        <v>La Fruta Açaí - Vila Mariana</v>
      </c>
      <c r="C39" s="66">
        <f>Geral!G39</f>
        <v>19235.91</v>
      </c>
      <c r="D39" s="66">
        <f>Geral!M39</f>
        <v>18.5</v>
      </c>
      <c r="E39" s="69">
        <f t="shared" si="0"/>
        <v>19254.41</v>
      </c>
      <c r="F39" s="70">
        <f t="shared" si="1"/>
        <v>962.72050000000002</v>
      </c>
    </row>
    <row r="40" spans="1:6" x14ac:dyDescent="0.25">
      <c r="A40" s="64"/>
      <c r="B40" s="65"/>
      <c r="C40" s="66"/>
      <c r="D40" s="66"/>
      <c r="E40" s="69"/>
      <c r="F40" s="70"/>
    </row>
    <row r="41" spans="1:6" x14ac:dyDescent="0.25">
      <c r="A41" s="64"/>
      <c r="B41" s="65"/>
      <c r="C41" s="66"/>
      <c r="D41" s="66"/>
      <c r="E41" s="69"/>
      <c r="F41" s="70"/>
    </row>
    <row r="42" spans="1:6" x14ac:dyDescent="0.25">
      <c r="A42" s="64"/>
      <c r="B42" s="65"/>
      <c r="C42" s="66"/>
      <c r="D42" s="66"/>
      <c r="E42" s="69"/>
      <c r="F42" s="70"/>
    </row>
    <row r="43" spans="1:6" x14ac:dyDescent="0.25">
      <c r="A43" s="64"/>
      <c r="B43" s="65"/>
      <c r="C43" s="66"/>
      <c r="D43" s="66"/>
      <c r="E43" s="69"/>
      <c r="F43" s="70"/>
    </row>
    <row r="44" spans="1:6" x14ac:dyDescent="0.25">
      <c r="A44" s="64"/>
      <c r="B44" s="65"/>
      <c r="C44" s="66"/>
      <c r="D44" s="66"/>
      <c r="E44" s="69"/>
      <c r="F44" s="70"/>
    </row>
    <row r="45" spans="1:6" ht="15.75" thickBot="1" x14ac:dyDescent="0.3">
      <c r="A45" s="64"/>
      <c r="B45" s="65"/>
      <c r="C45" s="66"/>
      <c r="D45" s="66"/>
      <c r="E45" s="71"/>
      <c r="F45" s="72"/>
    </row>
  </sheetData>
  <autoFilter ref="A2:F2">
    <filterColumn colId="0" showButton="0"/>
    <sortState ref="A3:F45">
      <sortCondition ref="A2"/>
    </sortState>
  </autoFilter>
  <mergeCells count="2">
    <mergeCell ref="A1:F1"/>
    <mergeCell ref="A2:B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E43" sqref="E3:E43"/>
    </sheetView>
  </sheetViews>
  <sheetFormatPr defaultRowHeight="15" x14ac:dyDescent="0.25"/>
  <cols>
    <col min="1" max="1" width="5.5703125" customWidth="1"/>
    <col min="2" max="2" width="29.5703125" customWidth="1"/>
    <col min="3" max="6" width="13.7109375" customWidth="1"/>
  </cols>
  <sheetData>
    <row r="1" spans="1:6" ht="19.5" thickBot="1" x14ac:dyDescent="0.35">
      <c r="A1" s="98" t="s">
        <v>102</v>
      </c>
      <c r="B1" s="98"/>
      <c r="C1" s="98"/>
      <c r="D1" s="98"/>
      <c r="E1" s="98"/>
      <c r="F1" s="99"/>
    </row>
    <row r="2" spans="1:6" x14ac:dyDescent="0.25">
      <c r="A2" s="100" t="s">
        <v>1</v>
      </c>
      <c r="B2" s="101"/>
      <c r="C2" s="73" t="s">
        <v>100</v>
      </c>
      <c r="D2" s="74" t="s">
        <v>97</v>
      </c>
      <c r="E2" s="73" t="s">
        <v>51</v>
      </c>
      <c r="F2" s="75" t="s">
        <v>101</v>
      </c>
    </row>
    <row r="3" spans="1:6" x14ac:dyDescent="0.25">
      <c r="A3" s="76" t="s">
        <v>63</v>
      </c>
      <c r="B3" s="16" t="str">
        <f>Geral!A3</f>
        <v>La Fruta Açaí - Bagé</v>
      </c>
      <c r="C3" s="34">
        <f>Geral!E3</f>
        <v>0</v>
      </c>
      <c r="D3" s="34">
        <f>Geral!O3</f>
        <v>0</v>
      </c>
      <c r="E3" s="77">
        <f t="shared" ref="E3:E39" si="0">SUM(D3,C3)</f>
        <v>0</v>
      </c>
      <c r="F3" s="78">
        <f t="shared" ref="F3:F39" si="1">E3*5%</f>
        <v>0</v>
      </c>
    </row>
    <row r="4" spans="1:6" x14ac:dyDescent="0.25">
      <c r="A4" s="76" t="s">
        <v>64</v>
      </c>
      <c r="B4" s="16" t="str">
        <f>Geral!A4</f>
        <v>La Fruta Açaí - Bento Gonçalves</v>
      </c>
      <c r="C4" s="34">
        <f>Geral!E4</f>
        <v>0</v>
      </c>
      <c r="D4" s="34">
        <f>Geral!O4</f>
        <v>0</v>
      </c>
      <c r="E4" s="77">
        <f t="shared" si="0"/>
        <v>0</v>
      </c>
      <c r="F4" s="78">
        <f t="shared" si="1"/>
        <v>0</v>
      </c>
    </row>
    <row r="5" spans="1:6" x14ac:dyDescent="0.25">
      <c r="A5" s="76" t="s">
        <v>65</v>
      </c>
      <c r="B5" s="16" t="str">
        <f>Geral!A5</f>
        <v xml:space="preserve">La Fruta Açaí - BH Buritis </v>
      </c>
      <c r="C5" s="34">
        <f>Geral!E5</f>
        <v>0</v>
      </c>
      <c r="D5" s="34">
        <f>Geral!O5</f>
        <v>0</v>
      </c>
      <c r="E5" s="77">
        <f t="shared" si="0"/>
        <v>0</v>
      </c>
      <c r="F5" s="78">
        <f t="shared" si="1"/>
        <v>0</v>
      </c>
    </row>
    <row r="6" spans="1:6" x14ac:dyDescent="0.25">
      <c r="A6" s="76" t="s">
        <v>66</v>
      </c>
      <c r="B6" s="16" t="str">
        <f>Geral!A6</f>
        <v>La Fruta Açaí - Bom Fim/ POA</v>
      </c>
      <c r="C6" s="34">
        <f>Geral!E6</f>
        <v>835.06</v>
      </c>
      <c r="D6" s="34">
        <f>Geral!O6</f>
        <v>0</v>
      </c>
      <c r="E6" s="77">
        <f t="shared" si="0"/>
        <v>835.06</v>
      </c>
      <c r="F6" s="78">
        <f t="shared" si="1"/>
        <v>41.753</v>
      </c>
    </row>
    <row r="7" spans="1:6" x14ac:dyDescent="0.25">
      <c r="A7" s="76" t="s">
        <v>67</v>
      </c>
      <c r="B7" s="16" t="str">
        <f>Geral!A7</f>
        <v>La Fruta Açaí - Botafogo RJ</v>
      </c>
      <c r="C7" s="34">
        <f>Geral!E7</f>
        <v>405.78</v>
      </c>
      <c r="D7" s="34">
        <f>Geral!O7</f>
        <v>0</v>
      </c>
      <c r="E7" s="77">
        <f t="shared" si="0"/>
        <v>405.78</v>
      </c>
      <c r="F7" s="78">
        <f t="shared" si="1"/>
        <v>20.289000000000001</v>
      </c>
    </row>
    <row r="8" spans="1:6" x14ac:dyDescent="0.25">
      <c r="A8" s="76" t="s">
        <v>68</v>
      </c>
      <c r="B8" s="16" t="str">
        <f>Geral!A8</f>
        <v>La Fruta Açaí - Campinas Prado</v>
      </c>
      <c r="C8" s="34">
        <f>Geral!E8</f>
        <v>1154.3900000000001</v>
      </c>
      <c r="D8" s="34">
        <f>Geral!O8</f>
        <v>1804.48</v>
      </c>
      <c r="E8" s="77">
        <f t="shared" si="0"/>
        <v>2958.87</v>
      </c>
      <c r="F8" s="78">
        <f t="shared" si="1"/>
        <v>147.9435</v>
      </c>
    </row>
    <row r="9" spans="1:6" x14ac:dyDescent="0.25">
      <c r="A9" s="76" t="s">
        <v>69</v>
      </c>
      <c r="B9" s="16" t="str">
        <f>Geral!A9</f>
        <v xml:space="preserve">La Fruta Açaí - Farroupilha </v>
      </c>
      <c r="C9" s="34">
        <f>Geral!E9</f>
        <v>347.81</v>
      </c>
      <c r="D9" s="34">
        <f>Geral!O9</f>
        <v>0</v>
      </c>
      <c r="E9" s="77">
        <f t="shared" si="0"/>
        <v>347.81</v>
      </c>
      <c r="F9" s="78">
        <f t="shared" si="1"/>
        <v>17.390499999999999</v>
      </c>
    </row>
    <row r="10" spans="1:6" x14ac:dyDescent="0.25">
      <c r="A10" s="76" t="s">
        <v>70</v>
      </c>
      <c r="B10" s="16" t="str">
        <f>Geral!A10</f>
        <v>La Fruta Açaí - Flores da Cunha</v>
      </c>
      <c r="C10" s="34">
        <f>Geral!E10</f>
        <v>0</v>
      </c>
      <c r="D10" s="34">
        <f>Geral!O10</f>
        <v>0</v>
      </c>
      <c r="E10" s="77">
        <f t="shared" si="0"/>
        <v>0</v>
      </c>
      <c r="F10" s="78">
        <f t="shared" si="1"/>
        <v>0</v>
      </c>
    </row>
    <row r="11" spans="1:6" x14ac:dyDescent="0.25">
      <c r="A11" s="76" t="s">
        <v>71</v>
      </c>
      <c r="B11" s="16" t="str">
        <f>Geral!A11</f>
        <v>La Fruta Açaí - Ijuí</v>
      </c>
      <c r="C11" s="34">
        <f>Geral!E11</f>
        <v>0</v>
      </c>
      <c r="D11" s="34">
        <f>Geral!O11</f>
        <v>0</v>
      </c>
      <c r="E11" s="77">
        <f t="shared" si="0"/>
        <v>0</v>
      </c>
      <c r="F11" s="78">
        <f t="shared" si="1"/>
        <v>0</v>
      </c>
    </row>
    <row r="12" spans="1:6" x14ac:dyDescent="0.25">
      <c r="A12" s="76" t="s">
        <v>72</v>
      </c>
      <c r="B12" s="16" t="str">
        <f>Geral!A12</f>
        <v>La Fruta Açaí - Interlagos</v>
      </c>
      <c r="C12" s="34">
        <f>Geral!E12</f>
        <v>0</v>
      </c>
      <c r="D12" s="34">
        <f>Geral!O12</f>
        <v>0</v>
      </c>
      <c r="E12" s="77">
        <f t="shared" si="0"/>
        <v>0</v>
      </c>
      <c r="F12" s="78">
        <f t="shared" si="1"/>
        <v>0</v>
      </c>
    </row>
    <row r="13" spans="1:6" x14ac:dyDescent="0.25">
      <c r="A13" s="76" t="s">
        <v>54</v>
      </c>
      <c r="B13" s="16" t="str">
        <f>Geral!A13</f>
        <v>La Fruta Açaí - Itajai</v>
      </c>
      <c r="C13" s="34">
        <f>Geral!E13</f>
        <v>0</v>
      </c>
      <c r="D13" s="34">
        <f>Geral!O13</f>
        <v>0</v>
      </c>
      <c r="E13" s="77">
        <f t="shared" si="0"/>
        <v>0</v>
      </c>
      <c r="F13" s="78">
        <f t="shared" si="1"/>
        <v>0</v>
      </c>
    </row>
    <row r="14" spans="1:6" x14ac:dyDescent="0.25">
      <c r="A14" s="76" t="s">
        <v>73</v>
      </c>
      <c r="B14" s="16" t="str">
        <f>Geral!A14</f>
        <v>La Fruta Açaí - Itapema</v>
      </c>
      <c r="C14" s="34">
        <f>Geral!E14</f>
        <v>0</v>
      </c>
      <c r="D14" s="34">
        <f>Geral!O14</f>
        <v>0</v>
      </c>
      <c r="E14" s="77">
        <f t="shared" si="0"/>
        <v>0</v>
      </c>
      <c r="F14" s="78">
        <f t="shared" si="1"/>
        <v>0</v>
      </c>
    </row>
    <row r="15" spans="1:6" x14ac:dyDescent="0.25">
      <c r="A15" s="76" t="s">
        <v>74</v>
      </c>
      <c r="B15" s="16" t="str">
        <f>Geral!A15</f>
        <v>La Fruta Açaí - Jataí</v>
      </c>
      <c r="C15" s="34">
        <f>Geral!E15</f>
        <v>0</v>
      </c>
      <c r="D15" s="34">
        <f>Geral!O15</f>
        <v>0</v>
      </c>
      <c r="E15" s="77">
        <f t="shared" si="0"/>
        <v>0</v>
      </c>
      <c r="F15" s="78">
        <f t="shared" si="1"/>
        <v>0</v>
      </c>
    </row>
    <row r="16" spans="1:6" x14ac:dyDescent="0.25">
      <c r="A16" s="76" t="s">
        <v>75</v>
      </c>
      <c r="B16" s="16" t="str">
        <f>Geral!A16</f>
        <v xml:space="preserve">La Fruta Açaí - Jundiaí </v>
      </c>
      <c r="C16" s="34">
        <f>Geral!E16</f>
        <v>492.44</v>
      </c>
      <c r="D16" s="34">
        <f>Geral!O16</f>
        <v>0</v>
      </c>
      <c r="E16" s="77">
        <f t="shared" si="0"/>
        <v>492.44</v>
      </c>
      <c r="F16" s="78">
        <f t="shared" si="1"/>
        <v>24.622</v>
      </c>
    </row>
    <row r="17" spans="1:6" x14ac:dyDescent="0.25">
      <c r="A17" s="76" t="s">
        <v>76</v>
      </c>
      <c r="B17" s="16" t="str">
        <f>Geral!A17</f>
        <v>La Fruta Açaí - Lajeado</v>
      </c>
      <c r="C17" s="34">
        <f>Geral!E17</f>
        <v>0</v>
      </c>
      <c r="D17" s="34">
        <f>Geral!O17</f>
        <v>0</v>
      </c>
      <c r="E17" s="77">
        <f t="shared" si="0"/>
        <v>0</v>
      </c>
      <c r="F17" s="78">
        <f t="shared" si="1"/>
        <v>0</v>
      </c>
    </row>
    <row r="18" spans="1:6" x14ac:dyDescent="0.25">
      <c r="A18" s="76" t="s">
        <v>77</v>
      </c>
      <c r="B18" s="16" t="str">
        <f>Geral!A18</f>
        <v>La Fruta Açaí - Mooca</v>
      </c>
      <c r="C18" s="34">
        <f>Geral!E18</f>
        <v>537.75</v>
      </c>
      <c r="D18" s="34">
        <f>Geral!O18</f>
        <v>772.12</v>
      </c>
      <c r="E18" s="77">
        <f t="shared" si="0"/>
        <v>1309.8699999999999</v>
      </c>
      <c r="F18" s="78">
        <f t="shared" si="1"/>
        <v>65.493499999999997</v>
      </c>
    </row>
    <row r="19" spans="1:6" x14ac:dyDescent="0.25">
      <c r="A19" s="76" t="s">
        <v>78</v>
      </c>
      <c r="B19" s="16" t="str">
        <f>Geral!A19</f>
        <v>La Fruta Açaí - Osasco</v>
      </c>
      <c r="C19" s="34">
        <f>Geral!E19</f>
        <v>8851.81</v>
      </c>
      <c r="D19" s="34">
        <f>Geral!O19</f>
        <v>134.19</v>
      </c>
      <c r="E19" s="77">
        <f t="shared" si="0"/>
        <v>8986</v>
      </c>
      <c r="F19" s="78">
        <f t="shared" si="1"/>
        <v>449.3</v>
      </c>
    </row>
    <row r="20" spans="1:6" x14ac:dyDescent="0.25">
      <c r="A20" s="76" t="s">
        <v>79</v>
      </c>
      <c r="B20" s="16" t="str">
        <f>Geral!A21</f>
        <v>La Fruta Açaí - Pato Branco Centro</v>
      </c>
      <c r="C20" s="34">
        <f>Geral!E21</f>
        <v>0</v>
      </c>
      <c r="D20" s="34">
        <f>Geral!O21</f>
        <v>0</v>
      </c>
      <c r="E20" s="77">
        <f t="shared" si="0"/>
        <v>0</v>
      </c>
      <c r="F20" s="78">
        <f t="shared" si="1"/>
        <v>0</v>
      </c>
    </row>
    <row r="21" spans="1:6" x14ac:dyDescent="0.25">
      <c r="A21" s="76" t="s">
        <v>80</v>
      </c>
      <c r="B21" s="16" t="str">
        <f>Geral!A22</f>
        <v>La Fruta Açaí - Pato Branco Shopping</v>
      </c>
      <c r="C21" s="34">
        <f>Geral!E22</f>
        <v>0</v>
      </c>
      <c r="D21" s="34">
        <f>Geral!O22</f>
        <v>0</v>
      </c>
      <c r="E21" s="77">
        <f t="shared" si="0"/>
        <v>0</v>
      </c>
      <c r="F21" s="78">
        <f t="shared" si="1"/>
        <v>0</v>
      </c>
    </row>
    <row r="22" spans="1:6" x14ac:dyDescent="0.25">
      <c r="A22" s="76" t="s">
        <v>81</v>
      </c>
      <c r="B22" s="16" t="e">
        <f>Geral!#REF!</f>
        <v>#REF!</v>
      </c>
      <c r="C22" s="34" t="e">
        <f>Geral!#REF!</f>
        <v>#REF!</v>
      </c>
      <c r="D22" s="34" t="e">
        <f>Geral!#REF!</f>
        <v>#REF!</v>
      </c>
      <c r="E22" s="77" t="e">
        <f t="shared" si="0"/>
        <v>#REF!</v>
      </c>
      <c r="F22" s="78" t="e">
        <f t="shared" si="1"/>
        <v>#REF!</v>
      </c>
    </row>
    <row r="23" spans="1:6" x14ac:dyDescent="0.25">
      <c r="A23" s="76" t="s">
        <v>82</v>
      </c>
      <c r="B23" s="16" t="str">
        <f>Geral!A23</f>
        <v>La Fruta Açai - Recreio/RJ</v>
      </c>
      <c r="C23" s="34">
        <f>Geral!E23</f>
        <v>422.17</v>
      </c>
      <c r="D23" s="34">
        <f>Geral!O23</f>
        <v>0</v>
      </c>
      <c r="E23" s="77">
        <f t="shared" si="0"/>
        <v>422.17</v>
      </c>
      <c r="F23" s="78">
        <f t="shared" si="1"/>
        <v>21.108500000000003</v>
      </c>
    </row>
    <row r="24" spans="1:6" x14ac:dyDescent="0.25">
      <c r="A24" s="76" t="s">
        <v>55</v>
      </c>
      <c r="B24" s="16" t="str">
        <f>Geral!A24</f>
        <v>La Fruta Açai - Renascença/BH</v>
      </c>
      <c r="C24" s="34">
        <f>Geral!E24</f>
        <v>0</v>
      </c>
      <c r="D24" s="34">
        <f>Geral!O24</f>
        <v>0</v>
      </c>
      <c r="E24" s="77">
        <f t="shared" si="0"/>
        <v>0</v>
      </c>
      <c r="F24" s="78">
        <f t="shared" si="1"/>
        <v>0</v>
      </c>
    </row>
    <row r="25" spans="1:6" x14ac:dyDescent="0.25">
      <c r="A25" s="76" t="s">
        <v>83</v>
      </c>
      <c r="B25" s="16" t="str">
        <f>Geral!A25</f>
        <v>La Fruta Açaí - Rondonopolis</v>
      </c>
      <c r="C25" s="34">
        <f>Geral!E25</f>
        <v>1727.45</v>
      </c>
      <c r="D25" s="34">
        <f>Geral!O25</f>
        <v>0</v>
      </c>
      <c r="E25" s="77">
        <f t="shared" si="0"/>
        <v>1727.45</v>
      </c>
      <c r="F25" s="78">
        <f t="shared" si="1"/>
        <v>86.372500000000002</v>
      </c>
    </row>
    <row r="26" spans="1:6" x14ac:dyDescent="0.25">
      <c r="A26" s="76" t="s">
        <v>84</v>
      </c>
      <c r="B26" s="16" t="str">
        <f>Geral!A26</f>
        <v>La Fruta Açaí - Rosário do Sul</v>
      </c>
      <c r="C26" s="34">
        <f>Geral!E26</f>
        <v>0</v>
      </c>
      <c r="D26" s="34">
        <f>Geral!O26</f>
        <v>0</v>
      </c>
      <c r="E26" s="77">
        <f t="shared" si="0"/>
        <v>0</v>
      </c>
      <c r="F26" s="78">
        <f t="shared" si="1"/>
        <v>0</v>
      </c>
    </row>
    <row r="27" spans="1:6" x14ac:dyDescent="0.25">
      <c r="A27" s="76" t="s">
        <v>85</v>
      </c>
      <c r="B27" s="16" t="str">
        <f>Geral!A27</f>
        <v>La Fruta Açaí - Samambaia Norte</v>
      </c>
      <c r="C27" s="34">
        <f>Geral!E27</f>
        <v>0</v>
      </c>
      <c r="D27" s="34">
        <f>Geral!O27</f>
        <v>0</v>
      </c>
      <c r="E27" s="77">
        <f t="shared" si="0"/>
        <v>0</v>
      </c>
      <c r="F27" s="78">
        <f t="shared" si="1"/>
        <v>0</v>
      </c>
    </row>
    <row r="28" spans="1:6" x14ac:dyDescent="0.25">
      <c r="A28" s="76" t="s">
        <v>86</v>
      </c>
      <c r="B28" s="16" t="str">
        <f>Geral!A28</f>
        <v>La Fruta Açaí - Samambaia Sul</v>
      </c>
      <c r="C28" s="34">
        <f>Geral!E28</f>
        <v>0</v>
      </c>
      <c r="D28" s="34">
        <f>Geral!O28</f>
        <v>0</v>
      </c>
      <c r="E28" s="77">
        <f t="shared" si="0"/>
        <v>0</v>
      </c>
      <c r="F28" s="78">
        <f t="shared" si="1"/>
        <v>0</v>
      </c>
    </row>
    <row r="29" spans="1:6" x14ac:dyDescent="0.25">
      <c r="A29" s="76" t="s">
        <v>87</v>
      </c>
      <c r="B29" s="16" t="str">
        <f>Geral!A29</f>
        <v>La Fruta Açaí - Santa Cruz do Sul/RS</v>
      </c>
      <c r="C29" s="34">
        <f>Geral!E29</f>
        <v>0</v>
      </c>
      <c r="D29" s="34">
        <f>Geral!O29</f>
        <v>0</v>
      </c>
      <c r="E29" s="77">
        <f t="shared" si="0"/>
        <v>0</v>
      </c>
      <c r="F29" s="78">
        <f t="shared" si="1"/>
        <v>0</v>
      </c>
    </row>
    <row r="30" spans="1:6" x14ac:dyDescent="0.25">
      <c r="A30" s="76" t="s">
        <v>88</v>
      </c>
      <c r="B30" s="16" t="str">
        <f>Geral!A30</f>
        <v>La Fruta Açaí - Santa Maria</v>
      </c>
      <c r="C30" s="34">
        <f>Geral!E30</f>
        <v>0</v>
      </c>
      <c r="D30" s="34">
        <f>Geral!O30</f>
        <v>0</v>
      </c>
      <c r="E30" s="77">
        <f t="shared" si="0"/>
        <v>0</v>
      </c>
      <c r="F30" s="78">
        <f t="shared" si="1"/>
        <v>0</v>
      </c>
    </row>
    <row r="31" spans="1:6" x14ac:dyDescent="0.25">
      <c r="A31" s="76" t="s">
        <v>89</v>
      </c>
      <c r="B31" s="16" t="str">
        <f>Geral!A31</f>
        <v>La Fruta Açaí - Santana do Livramento</v>
      </c>
      <c r="C31" s="34">
        <f>Geral!E31</f>
        <v>861.9</v>
      </c>
      <c r="D31" s="34">
        <f>Geral!O31</f>
        <v>0</v>
      </c>
      <c r="E31" s="77">
        <f t="shared" si="0"/>
        <v>861.9</v>
      </c>
      <c r="F31" s="78">
        <f t="shared" si="1"/>
        <v>43.094999999999999</v>
      </c>
    </row>
    <row r="32" spans="1:6" x14ac:dyDescent="0.25">
      <c r="A32" s="76" t="s">
        <v>90</v>
      </c>
      <c r="B32" s="16" t="str">
        <f>Geral!A32</f>
        <v>La Fruta Açaí - São Bernardo do Campo</v>
      </c>
      <c r="C32" s="34">
        <f>Geral!E32</f>
        <v>93.8</v>
      </c>
      <c r="D32" s="34">
        <f>Geral!O32</f>
        <v>354.52</v>
      </c>
      <c r="E32" s="77">
        <f t="shared" si="0"/>
        <v>448.32</v>
      </c>
      <c r="F32" s="78">
        <f t="shared" si="1"/>
        <v>22.416</v>
      </c>
    </row>
    <row r="33" spans="1:6" x14ac:dyDescent="0.25">
      <c r="A33" s="76" t="s">
        <v>91</v>
      </c>
      <c r="B33" s="16" t="str">
        <f>Geral!A33</f>
        <v>La Fruta Açaí - São Gabriel</v>
      </c>
      <c r="C33" s="34">
        <f>Geral!E33</f>
        <v>0</v>
      </c>
      <c r="D33" s="34">
        <f>Geral!O33</f>
        <v>0</v>
      </c>
      <c r="E33" s="77">
        <f t="shared" si="0"/>
        <v>0</v>
      </c>
      <c r="F33" s="78">
        <f t="shared" si="1"/>
        <v>0</v>
      </c>
    </row>
    <row r="34" spans="1:6" x14ac:dyDescent="0.25">
      <c r="A34" s="76" t="s">
        <v>92</v>
      </c>
      <c r="B34" s="16" t="str">
        <f>Geral!A34</f>
        <v>La Fruta Açaí - São José do Rio Preto</v>
      </c>
      <c r="C34" s="34">
        <f>Geral!E34</f>
        <v>1231.04</v>
      </c>
      <c r="D34" s="34">
        <f>Geral!O34</f>
        <v>0</v>
      </c>
      <c r="E34" s="77">
        <f t="shared" si="0"/>
        <v>1231.04</v>
      </c>
      <c r="F34" s="78">
        <f t="shared" si="1"/>
        <v>61.552</v>
      </c>
    </row>
    <row r="35" spans="1:6" x14ac:dyDescent="0.25">
      <c r="A35" s="76" t="s">
        <v>56</v>
      </c>
      <c r="B35" s="16" t="str">
        <f>Geral!A35</f>
        <v>La Fruta Açaí - Tatuapé</v>
      </c>
      <c r="C35" s="34">
        <f>Geral!E35</f>
        <v>3505.03</v>
      </c>
      <c r="D35" s="34">
        <f>Geral!O35</f>
        <v>1264.1600000000001</v>
      </c>
      <c r="E35" s="77">
        <f t="shared" si="0"/>
        <v>4769.1900000000005</v>
      </c>
      <c r="F35" s="78">
        <f t="shared" si="1"/>
        <v>238.45950000000005</v>
      </c>
    </row>
    <row r="36" spans="1:6" x14ac:dyDescent="0.25">
      <c r="A36" s="76" t="s">
        <v>93</v>
      </c>
      <c r="B36" s="16" t="str">
        <f>Geral!A36</f>
        <v>La Fruta Açaí - Tremembé</v>
      </c>
      <c r="C36" s="34">
        <f>Geral!E36</f>
        <v>1082.0999999999999</v>
      </c>
      <c r="D36" s="34">
        <f>Geral!O36</f>
        <v>796.34</v>
      </c>
      <c r="E36" s="77">
        <f t="shared" si="0"/>
        <v>1878.44</v>
      </c>
      <c r="F36" s="78">
        <f t="shared" si="1"/>
        <v>93.922000000000011</v>
      </c>
    </row>
    <row r="37" spans="1:6" x14ac:dyDescent="0.25">
      <c r="A37" s="76" t="s">
        <v>94</v>
      </c>
      <c r="B37" s="16" t="str">
        <f>Geral!A37</f>
        <v>La Fruta Açaí - Uruguaiana</v>
      </c>
      <c r="C37" s="34">
        <f>Geral!E37</f>
        <v>740.5</v>
      </c>
      <c r="D37" s="34">
        <f>Geral!O37</f>
        <v>0</v>
      </c>
      <c r="E37" s="77">
        <f t="shared" si="0"/>
        <v>740.5</v>
      </c>
      <c r="F37" s="78">
        <f t="shared" si="1"/>
        <v>37.024999999999999</v>
      </c>
    </row>
    <row r="38" spans="1:6" x14ac:dyDescent="0.25">
      <c r="A38" s="76" t="s">
        <v>95</v>
      </c>
      <c r="B38" s="16" t="str">
        <f>Geral!A38</f>
        <v>La Fruta Açaí - Vacaria</v>
      </c>
      <c r="C38" s="34">
        <f>Geral!E38</f>
        <v>0</v>
      </c>
      <c r="D38" s="34">
        <f>Geral!O38</f>
        <v>0</v>
      </c>
      <c r="E38" s="77">
        <f t="shared" si="0"/>
        <v>0</v>
      </c>
      <c r="F38" s="78">
        <f t="shared" si="1"/>
        <v>0</v>
      </c>
    </row>
    <row r="39" spans="1:6" x14ac:dyDescent="0.25">
      <c r="A39" s="76" t="s">
        <v>96</v>
      </c>
      <c r="B39" s="16" t="str">
        <f>Geral!A39</f>
        <v>La Fruta Açaí - Vila Mariana</v>
      </c>
      <c r="C39" s="34">
        <f>Geral!E39</f>
        <v>973.8</v>
      </c>
      <c r="D39" s="34">
        <f>Geral!O39</f>
        <v>1252.43</v>
      </c>
      <c r="E39" s="77">
        <f t="shared" si="0"/>
        <v>2226.23</v>
      </c>
      <c r="F39" s="78">
        <f t="shared" si="1"/>
        <v>111.31150000000001</v>
      </c>
    </row>
    <row r="40" spans="1:6" x14ac:dyDescent="0.25">
      <c r="A40" s="76"/>
      <c r="B40" s="16"/>
      <c r="C40" s="34"/>
      <c r="D40" s="34"/>
      <c r="E40" s="77"/>
      <c r="F40" s="78"/>
    </row>
    <row r="41" spans="1:6" x14ac:dyDescent="0.25">
      <c r="A41" s="76"/>
      <c r="B41" s="16"/>
      <c r="C41" s="34"/>
      <c r="D41" s="34"/>
      <c r="E41" s="77"/>
      <c r="F41" s="78"/>
    </row>
    <row r="42" spans="1:6" x14ac:dyDescent="0.25">
      <c r="A42" s="76"/>
      <c r="B42" s="16"/>
      <c r="C42" s="34"/>
      <c r="D42" s="34"/>
      <c r="E42" s="77"/>
      <c r="F42" s="78"/>
    </row>
    <row r="43" spans="1:6" x14ac:dyDescent="0.25">
      <c r="A43" s="76"/>
      <c r="B43" s="16"/>
      <c r="C43" s="34"/>
      <c r="D43" s="34"/>
      <c r="E43" s="77"/>
      <c r="F43" s="78"/>
    </row>
    <row r="44" spans="1:6" x14ac:dyDescent="0.25">
      <c r="A44" s="76"/>
      <c r="B44" s="16"/>
      <c r="C44" s="34"/>
      <c r="D44" s="34"/>
      <c r="E44" s="77"/>
      <c r="F44" s="78"/>
    </row>
    <row r="45" spans="1:6" x14ac:dyDescent="0.25">
      <c r="A45" s="76"/>
      <c r="B45" s="16"/>
      <c r="C45" s="34"/>
      <c r="D45" s="34"/>
      <c r="E45" s="77"/>
      <c r="F45" s="78"/>
    </row>
  </sheetData>
  <autoFilter ref="A2:F2">
    <filterColumn colId="0" showButton="0"/>
    <sortState ref="A3:F45">
      <sortCondition ref="A2"/>
    </sortState>
  </autoFilter>
  <mergeCells count="2">
    <mergeCell ref="A1:F1"/>
    <mergeCell ref="A2:B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E3" sqref="E3:E44"/>
    </sheetView>
  </sheetViews>
  <sheetFormatPr defaultRowHeight="15" x14ac:dyDescent="0.25"/>
  <cols>
    <col min="1" max="1" width="5.5703125" customWidth="1"/>
    <col min="2" max="2" width="30.140625" customWidth="1"/>
    <col min="3" max="6" width="13.7109375" customWidth="1"/>
  </cols>
  <sheetData>
    <row r="1" spans="1:6" ht="19.5" thickBot="1" x14ac:dyDescent="0.3">
      <c r="A1" s="102" t="s">
        <v>103</v>
      </c>
      <c r="B1" s="103"/>
      <c r="C1" s="103"/>
      <c r="D1" s="103"/>
      <c r="E1" s="103"/>
      <c r="F1" s="104"/>
    </row>
    <row r="2" spans="1:6" x14ac:dyDescent="0.25">
      <c r="A2" s="105" t="s">
        <v>1</v>
      </c>
      <c r="B2" s="106"/>
      <c r="C2" s="79" t="s">
        <v>100</v>
      </c>
      <c r="D2" s="80" t="s">
        <v>97</v>
      </c>
      <c r="E2" s="79" t="s">
        <v>51</v>
      </c>
      <c r="F2" s="81" t="s">
        <v>101</v>
      </c>
    </row>
    <row r="3" spans="1:6" x14ac:dyDescent="0.25">
      <c r="A3" s="82" t="s">
        <v>63</v>
      </c>
      <c r="B3" s="83" t="str">
        <f>Geral!A3</f>
        <v>La Fruta Açaí - Bagé</v>
      </c>
      <c r="C3" s="34">
        <f>Geral!I3</f>
        <v>0</v>
      </c>
      <c r="D3" s="34">
        <v>0</v>
      </c>
      <c r="E3" s="77">
        <f t="shared" ref="E3:E39" si="0">SUM(D3,C3,)</f>
        <v>0</v>
      </c>
      <c r="F3" s="78">
        <f t="shared" ref="F3:F39" si="1">E3*5%</f>
        <v>0</v>
      </c>
    </row>
    <row r="4" spans="1:6" x14ac:dyDescent="0.25">
      <c r="A4" s="82" t="s">
        <v>64</v>
      </c>
      <c r="B4" s="83" t="str">
        <f>Geral!A4</f>
        <v>La Fruta Açaí - Bento Gonçalves</v>
      </c>
      <c r="C4" s="34">
        <f>Geral!I4</f>
        <v>0</v>
      </c>
      <c r="D4" s="34">
        <v>0</v>
      </c>
      <c r="E4" s="77">
        <f t="shared" si="0"/>
        <v>0</v>
      </c>
      <c r="F4" s="78">
        <f t="shared" si="1"/>
        <v>0</v>
      </c>
    </row>
    <row r="5" spans="1:6" x14ac:dyDescent="0.25">
      <c r="A5" s="82" t="s">
        <v>65</v>
      </c>
      <c r="B5" s="83" t="str">
        <f>Geral!A5</f>
        <v xml:space="preserve">La Fruta Açaí - BH Buritis </v>
      </c>
      <c r="C5" s="34">
        <f>Geral!I5</f>
        <v>0</v>
      </c>
      <c r="D5" s="34">
        <v>0</v>
      </c>
      <c r="E5" s="77">
        <f t="shared" si="0"/>
        <v>0</v>
      </c>
      <c r="F5" s="78">
        <f t="shared" si="1"/>
        <v>0</v>
      </c>
    </row>
    <row r="6" spans="1:6" x14ac:dyDescent="0.25">
      <c r="A6" s="82" t="s">
        <v>66</v>
      </c>
      <c r="B6" s="83" t="str">
        <f>Geral!A6</f>
        <v>La Fruta Açaí - Bom Fim/ POA</v>
      </c>
      <c r="C6" s="34">
        <f>Geral!I6</f>
        <v>372.33</v>
      </c>
      <c r="D6" s="34">
        <v>0</v>
      </c>
      <c r="E6" s="77">
        <f t="shared" si="0"/>
        <v>372.33</v>
      </c>
      <c r="F6" s="78">
        <f t="shared" si="1"/>
        <v>18.616499999999998</v>
      </c>
    </row>
    <row r="7" spans="1:6" x14ac:dyDescent="0.25">
      <c r="A7" s="82" t="s">
        <v>67</v>
      </c>
      <c r="B7" s="83" t="str">
        <f>Geral!A7</f>
        <v>La Fruta Açaí - Botafogo RJ</v>
      </c>
      <c r="C7" s="34">
        <f>Geral!I7</f>
        <v>1954.22</v>
      </c>
      <c r="D7" s="34">
        <v>0</v>
      </c>
      <c r="E7" s="77">
        <f t="shared" si="0"/>
        <v>1954.22</v>
      </c>
      <c r="F7" s="78">
        <f t="shared" si="1"/>
        <v>97.711000000000013</v>
      </c>
    </row>
    <row r="8" spans="1:6" x14ac:dyDescent="0.25">
      <c r="A8" s="82" t="s">
        <v>68</v>
      </c>
      <c r="B8" s="83" t="str">
        <f>Geral!A8</f>
        <v>La Fruta Açaí - Campinas Prado</v>
      </c>
      <c r="C8" s="34">
        <f>Geral!I8</f>
        <v>0</v>
      </c>
      <c r="D8" s="34">
        <v>0</v>
      </c>
      <c r="E8" s="77">
        <f t="shared" si="0"/>
        <v>0</v>
      </c>
      <c r="F8" s="78">
        <f t="shared" si="1"/>
        <v>0</v>
      </c>
    </row>
    <row r="9" spans="1:6" x14ac:dyDescent="0.25">
      <c r="A9" s="82" t="s">
        <v>69</v>
      </c>
      <c r="B9" s="83" t="str">
        <f>Geral!A9</f>
        <v xml:space="preserve">La Fruta Açaí - Farroupilha </v>
      </c>
      <c r="C9" s="34">
        <f>Geral!I9</f>
        <v>0</v>
      </c>
      <c r="D9" s="34">
        <v>0</v>
      </c>
      <c r="E9" s="77">
        <f t="shared" si="0"/>
        <v>0</v>
      </c>
      <c r="F9" s="78">
        <f t="shared" si="1"/>
        <v>0</v>
      </c>
    </row>
    <row r="10" spans="1:6" x14ac:dyDescent="0.25">
      <c r="A10" s="82" t="s">
        <v>70</v>
      </c>
      <c r="B10" s="83" t="str">
        <f>Geral!A10</f>
        <v>La Fruta Açaí - Flores da Cunha</v>
      </c>
      <c r="C10" s="34">
        <f>Geral!I10</f>
        <v>0</v>
      </c>
      <c r="D10" s="34">
        <v>0</v>
      </c>
      <c r="E10" s="77">
        <f t="shared" si="0"/>
        <v>0</v>
      </c>
      <c r="F10" s="78">
        <f t="shared" si="1"/>
        <v>0</v>
      </c>
    </row>
    <row r="11" spans="1:6" x14ac:dyDescent="0.25">
      <c r="A11" s="82" t="s">
        <v>71</v>
      </c>
      <c r="B11" s="83" t="str">
        <f>Geral!A11</f>
        <v>La Fruta Açaí - Ijuí</v>
      </c>
      <c r="C11" s="34">
        <f>Geral!I11</f>
        <v>0</v>
      </c>
      <c r="D11" s="34">
        <v>0</v>
      </c>
      <c r="E11" s="77">
        <f t="shared" si="0"/>
        <v>0</v>
      </c>
      <c r="F11" s="78">
        <f t="shared" si="1"/>
        <v>0</v>
      </c>
    </row>
    <row r="12" spans="1:6" x14ac:dyDescent="0.25">
      <c r="A12" s="82" t="s">
        <v>72</v>
      </c>
      <c r="B12" s="83" t="str">
        <f>Geral!A12</f>
        <v>La Fruta Açaí - Interlagos</v>
      </c>
      <c r="C12" s="34">
        <f>Geral!I12</f>
        <v>0</v>
      </c>
      <c r="D12" s="34">
        <v>0</v>
      </c>
      <c r="E12" s="77">
        <f t="shared" si="0"/>
        <v>0</v>
      </c>
      <c r="F12" s="78">
        <f t="shared" si="1"/>
        <v>0</v>
      </c>
    </row>
    <row r="13" spans="1:6" x14ac:dyDescent="0.25">
      <c r="A13" s="82" t="s">
        <v>54</v>
      </c>
      <c r="B13" s="83" t="str">
        <f>Geral!A13</f>
        <v>La Fruta Açaí - Itajai</v>
      </c>
      <c r="C13" s="34">
        <f>Geral!I13</f>
        <v>0</v>
      </c>
      <c r="D13" s="34">
        <v>0</v>
      </c>
      <c r="E13" s="77">
        <f t="shared" si="0"/>
        <v>0</v>
      </c>
      <c r="F13" s="78">
        <f t="shared" si="1"/>
        <v>0</v>
      </c>
    </row>
    <row r="14" spans="1:6" x14ac:dyDescent="0.25">
      <c r="A14" s="82" t="s">
        <v>73</v>
      </c>
      <c r="B14" s="83" t="str">
        <f>Geral!A14</f>
        <v>La Fruta Açaí - Itapema</v>
      </c>
      <c r="C14" s="34">
        <f>Geral!I14</f>
        <v>0</v>
      </c>
      <c r="D14" s="34">
        <v>0</v>
      </c>
      <c r="E14" s="77">
        <f t="shared" si="0"/>
        <v>0</v>
      </c>
      <c r="F14" s="78">
        <f t="shared" si="1"/>
        <v>0</v>
      </c>
    </row>
    <row r="15" spans="1:6" x14ac:dyDescent="0.25">
      <c r="A15" s="82" t="s">
        <v>74</v>
      </c>
      <c r="B15" s="83" t="str">
        <f>Geral!A15</f>
        <v>La Fruta Açaí - Jataí</v>
      </c>
      <c r="C15" s="34">
        <f>Geral!I15</f>
        <v>0</v>
      </c>
      <c r="D15" s="34">
        <v>0</v>
      </c>
      <c r="E15" s="77">
        <f t="shared" si="0"/>
        <v>0</v>
      </c>
      <c r="F15" s="78">
        <f t="shared" si="1"/>
        <v>0</v>
      </c>
    </row>
    <row r="16" spans="1:6" x14ac:dyDescent="0.25">
      <c r="A16" s="82" t="s">
        <v>75</v>
      </c>
      <c r="B16" s="83" t="str">
        <f>Geral!A16</f>
        <v xml:space="preserve">La Fruta Açaí - Jundiaí </v>
      </c>
      <c r="C16" s="34">
        <f>Geral!I16</f>
        <v>0</v>
      </c>
      <c r="D16" s="34">
        <v>0</v>
      </c>
      <c r="E16" s="77">
        <f t="shared" si="0"/>
        <v>0</v>
      </c>
      <c r="F16" s="78">
        <f t="shared" si="1"/>
        <v>0</v>
      </c>
    </row>
    <row r="17" spans="1:6" x14ac:dyDescent="0.25">
      <c r="A17" s="82" t="s">
        <v>76</v>
      </c>
      <c r="B17" s="83" t="str">
        <f>Geral!A17</f>
        <v>La Fruta Açaí - Lajeado</v>
      </c>
      <c r="C17" s="34">
        <f>Geral!I17</f>
        <v>0</v>
      </c>
      <c r="D17" s="34">
        <v>0</v>
      </c>
      <c r="E17" s="77">
        <f t="shared" si="0"/>
        <v>0</v>
      </c>
      <c r="F17" s="78">
        <f t="shared" si="1"/>
        <v>0</v>
      </c>
    </row>
    <row r="18" spans="1:6" x14ac:dyDescent="0.25">
      <c r="A18" s="82" t="s">
        <v>77</v>
      </c>
      <c r="B18" s="83" t="str">
        <f>Geral!A18</f>
        <v>La Fruta Açaí - Mooca</v>
      </c>
      <c r="C18" s="34">
        <f>Geral!I18</f>
        <v>0</v>
      </c>
      <c r="D18" s="34">
        <v>0</v>
      </c>
      <c r="E18" s="77">
        <f t="shared" si="0"/>
        <v>0</v>
      </c>
      <c r="F18" s="78">
        <f t="shared" si="1"/>
        <v>0</v>
      </c>
    </row>
    <row r="19" spans="1:6" x14ac:dyDescent="0.25">
      <c r="A19" s="82" t="s">
        <v>78</v>
      </c>
      <c r="B19" s="83" t="str">
        <f>Geral!A19</f>
        <v>La Fruta Açaí - Osasco</v>
      </c>
      <c r="C19" s="34">
        <f>Geral!I19</f>
        <v>0</v>
      </c>
      <c r="D19" s="34">
        <v>0</v>
      </c>
      <c r="E19" s="77">
        <f t="shared" si="0"/>
        <v>0</v>
      </c>
      <c r="F19" s="78">
        <f t="shared" si="1"/>
        <v>0</v>
      </c>
    </row>
    <row r="20" spans="1:6" x14ac:dyDescent="0.25">
      <c r="A20" s="82" t="s">
        <v>79</v>
      </c>
      <c r="B20" s="83" t="str">
        <f>Geral!A21</f>
        <v>La Fruta Açaí - Pato Branco Centro</v>
      </c>
      <c r="C20" s="34">
        <f>Geral!I21</f>
        <v>0</v>
      </c>
      <c r="D20" s="34">
        <v>0</v>
      </c>
      <c r="E20" s="77">
        <f t="shared" si="0"/>
        <v>0</v>
      </c>
      <c r="F20" s="78">
        <f t="shared" si="1"/>
        <v>0</v>
      </c>
    </row>
    <row r="21" spans="1:6" x14ac:dyDescent="0.25">
      <c r="A21" s="82" t="s">
        <v>80</v>
      </c>
      <c r="B21" s="83" t="str">
        <f>Geral!A22</f>
        <v>La Fruta Açaí - Pato Branco Shopping</v>
      </c>
      <c r="C21" s="34">
        <f>Geral!I22</f>
        <v>0</v>
      </c>
      <c r="D21" s="34">
        <v>0</v>
      </c>
      <c r="E21" s="77">
        <f t="shared" si="0"/>
        <v>0</v>
      </c>
      <c r="F21" s="78">
        <f t="shared" si="1"/>
        <v>0</v>
      </c>
    </row>
    <row r="22" spans="1:6" x14ac:dyDescent="0.25">
      <c r="A22" s="82" t="s">
        <v>81</v>
      </c>
      <c r="B22" s="83" t="e">
        <f>Geral!#REF!</f>
        <v>#REF!</v>
      </c>
      <c r="C22" s="34" t="e">
        <f>Geral!#REF!</f>
        <v>#REF!</v>
      </c>
      <c r="D22" s="34">
        <v>0</v>
      </c>
      <c r="E22" s="77" t="e">
        <f t="shared" si="0"/>
        <v>#REF!</v>
      </c>
      <c r="F22" s="78" t="e">
        <f t="shared" si="1"/>
        <v>#REF!</v>
      </c>
    </row>
    <row r="23" spans="1:6" x14ac:dyDescent="0.25">
      <c r="A23" s="82" t="s">
        <v>82</v>
      </c>
      <c r="B23" s="83" t="str">
        <f>Geral!A23</f>
        <v>La Fruta Açai - Recreio/RJ</v>
      </c>
      <c r="C23" s="34">
        <f>Geral!I23</f>
        <v>0</v>
      </c>
      <c r="D23" s="34">
        <v>0</v>
      </c>
      <c r="E23" s="77">
        <f t="shared" si="0"/>
        <v>0</v>
      </c>
      <c r="F23" s="78">
        <f t="shared" si="1"/>
        <v>0</v>
      </c>
    </row>
    <row r="24" spans="1:6" x14ac:dyDescent="0.25">
      <c r="A24" s="82" t="s">
        <v>55</v>
      </c>
      <c r="B24" s="83" t="str">
        <f>Geral!A24</f>
        <v>La Fruta Açai - Renascença/BH</v>
      </c>
      <c r="C24" s="34">
        <f>Geral!I24</f>
        <v>0</v>
      </c>
      <c r="D24" s="34">
        <v>0</v>
      </c>
      <c r="E24" s="77">
        <f t="shared" si="0"/>
        <v>0</v>
      </c>
      <c r="F24" s="78">
        <f t="shared" si="1"/>
        <v>0</v>
      </c>
    </row>
    <row r="25" spans="1:6" x14ac:dyDescent="0.25">
      <c r="A25" s="82" t="s">
        <v>83</v>
      </c>
      <c r="B25" s="83" t="str">
        <f>Geral!A25</f>
        <v>La Fruta Açaí - Rondonopolis</v>
      </c>
      <c r="C25" s="34">
        <f>Geral!I25</f>
        <v>0</v>
      </c>
      <c r="D25" s="34">
        <v>0</v>
      </c>
      <c r="E25" s="77">
        <f t="shared" si="0"/>
        <v>0</v>
      </c>
      <c r="F25" s="78">
        <f t="shared" si="1"/>
        <v>0</v>
      </c>
    </row>
    <row r="26" spans="1:6" x14ac:dyDescent="0.25">
      <c r="A26" s="82" t="s">
        <v>84</v>
      </c>
      <c r="B26" s="83" t="str">
        <f>Geral!A26</f>
        <v>La Fruta Açaí - Rosário do Sul</v>
      </c>
      <c r="C26" s="34">
        <f>Geral!I26</f>
        <v>0</v>
      </c>
      <c r="D26" s="34">
        <v>0</v>
      </c>
      <c r="E26" s="77">
        <f t="shared" si="0"/>
        <v>0</v>
      </c>
      <c r="F26" s="78">
        <f t="shared" si="1"/>
        <v>0</v>
      </c>
    </row>
    <row r="27" spans="1:6" x14ac:dyDescent="0.25">
      <c r="A27" s="82" t="s">
        <v>85</v>
      </c>
      <c r="B27" s="83" t="str">
        <f>Geral!A27</f>
        <v>La Fruta Açaí - Samambaia Norte</v>
      </c>
      <c r="C27" s="34">
        <f>Geral!I27</f>
        <v>0</v>
      </c>
      <c r="D27" s="34">
        <v>0</v>
      </c>
      <c r="E27" s="77">
        <f t="shared" si="0"/>
        <v>0</v>
      </c>
      <c r="F27" s="78">
        <f t="shared" si="1"/>
        <v>0</v>
      </c>
    </row>
    <row r="28" spans="1:6" x14ac:dyDescent="0.25">
      <c r="A28" s="82" t="s">
        <v>86</v>
      </c>
      <c r="B28" s="83" t="str">
        <f>Geral!A28</f>
        <v>La Fruta Açaí - Samambaia Sul</v>
      </c>
      <c r="C28" s="34">
        <f>Geral!I28</f>
        <v>0</v>
      </c>
      <c r="D28" s="34">
        <v>0</v>
      </c>
      <c r="E28" s="77">
        <f t="shared" si="0"/>
        <v>0</v>
      </c>
      <c r="F28" s="78">
        <f t="shared" si="1"/>
        <v>0</v>
      </c>
    </row>
    <row r="29" spans="1:6" x14ac:dyDescent="0.25">
      <c r="A29" s="82" t="s">
        <v>87</v>
      </c>
      <c r="B29" s="83" t="str">
        <f>Geral!A29</f>
        <v>La Fruta Açaí - Santa Cruz do Sul/RS</v>
      </c>
      <c r="C29" s="34">
        <f>Geral!I29</f>
        <v>0</v>
      </c>
      <c r="D29" s="34">
        <v>0</v>
      </c>
      <c r="E29" s="77">
        <f t="shared" si="0"/>
        <v>0</v>
      </c>
      <c r="F29" s="78">
        <f t="shared" si="1"/>
        <v>0</v>
      </c>
    </row>
    <row r="30" spans="1:6" x14ac:dyDescent="0.25">
      <c r="A30" s="82" t="s">
        <v>88</v>
      </c>
      <c r="B30" s="83" t="str">
        <f>Geral!A30</f>
        <v>La Fruta Açaí - Santa Maria</v>
      </c>
      <c r="C30" s="34">
        <f>Geral!I30</f>
        <v>0</v>
      </c>
      <c r="D30" s="34">
        <v>0</v>
      </c>
      <c r="E30" s="77">
        <f t="shared" si="0"/>
        <v>0</v>
      </c>
      <c r="F30" s="78">
        <f t="shared" si="1"/>
        <v>0</v>
      </c>
    </row>
    <row r="31" spans="1:6" x14ac:dyDescent="0.25">
      <c r="A31" s="82" t="s">
        <v>89</v>
      </c>
      <c r="B31" s="83" t="str">
        <f>Geral!A31</f>
        <v>La Fruta Açaí - Santana do Livramento</v>
      </c>
      <c r="C31" s="34">
        <f>Geral!I31</f>
        <v>1140.52</v>
      </c>
      <c r="D31" s="34">
        <v>0</v>
      </c>
      <c r="E31" s="77">
        <f t="shared" si="0"/>
        <v>1140.52</v>
      </c>
      <c r="F31" s="78">
        <f t="shared" si="1"/>
        <v>57.026000000000003</v>
      </c>
    </row>
    <row r="32" spans="1:6" x14ac:dyDescent="0.25">
      <c r="A32" s="82" t="s">
        <v>90</v>
      </c>
      <c r="B32" s="83" t="str">
        <f>Geral!A32</f>
        <v>La Fruta Açaí - São Bernardo do Campo</v>
      </c>
      <c r="C32" s="34">
        <f>Geral!I32</f>
        <v>0</v>
      </c>
      <c r="D32" s="34">
        <v>0</v>
      </c>
      <c r="E32" s="77">
        <f t="shared" si="0"/>
        <v>0</v>
      </c>
      <c r="F32" s="78">
        <f t="shared" si="1"/>
        <v>0</v>
      </c>
    </row>
    <row r="33" spans="1:6" x14ac:dyDescent="0.25">
      <c r="A33" s="82" t="s">
        <v>91</v>
      </c>
      <c r="B33" s="83" t="str">
        <f>Geral!A33</f>
        <v>La Fruta Açaí - São Gabriel</v>
      </c>
      <c r="C33" s="34">
        <f>Geral!I33</f>
        <v>471.6</v>
      </c>
      <c r="D33" s="34">
        <v>0</v>
      </c>
      <c r="E33" s="77">
        <f t="shared" si="0"/>
        <v>471.6</v>
      </c>
      <c r="F33" s="78">
        <f t="shared" si="1"/>
        <v>23.580000000000002</v>
      </c>
    </row>
    <row r="34" spans="1:6" x14ac:dyDescent="0.25">
      <c r="A34" s="82" t="s">
        <v>92</v>
      </c>
      <c r="B34" s="83" t="str">
        <f>Geral!A34</f>
        <v>La Fruta Açaí - São José do Rio Preto</v>
      </c>
      <c r="C34" s="34">
        <f>Geral!I34</f>
        <v>3052.64</v>
      </c>
      <c r="D34" s="34">
        <v>0</v>
      </c>
      <c r="E34" s="77">
        <f t="shared" si="0"/>
        <v>3052.64</v>
      </c>
      <c r="F34" s="78">
        <f t="shared" si="1"/>
        <v>152.63200000000001</v>
      </c>
    </row>
    <row r="35" spans="1:6" x14ac:dyDescent="0.25">
      <c r="A35" s="82" t="s">
        <v>56</v>
      </c>
      <c r="B35" s="83" t="str">
        <f>Geral!A35</f>
        <v>La Fruta Açaí - Tatuapé</v>
      </c>
      <c r="C35" s="34">
        <f>Geral!I35</f>
        <v>271.23</v>
      </c>
      <c r="D35" s="34">
        <v>0</v>
      </c>
      <c r="E35" s="77">
        <f t="shared" si="0"/>
        <v>271.23</v>
      </c>
      <c r="F35" s="78">
        <f t="shared" si="1"/>
        <v>13.561500000000002</v>
      </c>
    </row>
    <row r="36" spans="1:6" x14ac:dyDescent="0.25">
      <c r="A36" s="82" t="s">
        <v>93</v>
      </c>
      <c r="B36" s="83" t="str">
        <f>Geral!A36</f>
        <v>La Fruta Açaí - Tremembé</v>
      </c>
      <c r="C36" s="34">
        <f>Geral!I36</f>
        <v>0</v>
      </c>
      <c r="D36" s="34">
        <v>0</v>
      </c>
      <c r="E36" s="77">
        <f t="shared" si="0"/>
        <v>0</v>
      </c>
      <c r="F36" s="78">
        <f t="shared" si="1"/>
        <v>0</v>
      </c>
    </row>
    <row r="37" spans="1:6" x14ac:dyDescent="0.25">
      <c r="A37" s="82" t="s">
        <v>94</v>
      </c>
      <c r="B37" s="83" t="str">
        <f>Geral!A37</f>
        <v>La Fruta Açaí - Uruguaiana</v>
      </c>
      <c r="C37" s="34">
        <f>Geral!I37</f>
        <v>0</v>
      </c>
      <c r="D37" s="34">
        <v>0</v>
      </c>
      <c r="E37" s="77">
        <f t="shared" si="0"/>
        <v>0</v>
      </c>
      <c r="F37" s="78">
        <f t="shared" si="1"/>
        <v>0</v>
      </c>
    </row>
    <row r="38" spans="1:6" x14ac:dyDescent="0.25">
      <c r="A38" s="82" t="s">
        <v>95</v>
      </c>
      <c r="B38" s="83" t="str">
        <f>Geral!A38</f>
        <v>La Fruta Açaí - Vacaria</v>
      </c>
      <c r="C38" s="34">
        <f>Geral!I38</f>
        <v>0</v>
      </c>
      <c r="D38" s="34">
        <v>0</v>
      </c>
      <c r="E38" s="77">
        <f t="shared" si="0"/>
        <v>0</v>
      </c>
      <c r="F38" s="78">
        <f t="shared" si="1"/>
        <v>0</v>
      </c>
    </row>
    <row r="39" spans="1:6" x14ac:dyDescent="0.25">
      <c r="A39" s="82" t="s">
        <v>96</v>
      </c>
      <c r="B39" s="83" t="str">
        <f>Geral!A39</f>
        <v>La Fruta Açaí - Vila Mariana</v>
      </c>
      <c r="C39" s="34">
        <f>Geral!I39</f>
        <v>0</v>
      </c>
      <c r="D39" s="34">
        <v>0</v>
      </c>
      <c r="E39" s="77">
        <f t="shared" si="0"/>
        <v>0</v>
      </c>
      <c r="F39" s="78">
        <f t="shared" si="1"/>
        <v>0</v>
      </c>
    </row>
    <row r="40" spans="1:6" x14ac:dyDescent="0.25">
      <c r="A40" s="82"/>
      <c r="B40" s="83"/>
      <c r="C40" s="34"/>
      <c r="D40" s="34"/>
      <c r="E40" s="77"/>
      <c r="F40" s="78"/>
    </row>
    <row r="41" spans="1:6" x14ac:dyDescent="0.25">
      <c r="A41" s="82"/>
      <c r="B41" s="83"/>
      <c r="C41" s="34"/>
      <c r="D41" s="34"/>
      <c r="E41" s="77"/>
      <c r="F41" s="78"/>
    </row>
    <row r="42" spans="1:6" x14ac:dyDescent="0.25">
      <c r="A42" s="82"/>
      <c r="B42" s="83"/>
      <c r="C42" s="34"/>
      <c r="D42" s="34"/>
      <c r="E42" s="77"/>
      <c r="F42" s="78"/>
    </row>
    <row r="43" spans="1:6" x14ac:dyDescent="0.25">
      <c r="A43" s="82"/>
      <c r="B43" s="83"/>
      <c r="C43" s="34"/>
      <c r="D43" s="34"/>
      <c r="E43" s="77"/>
      <c r="F43" s="78"/>
    </row>
    <row r="44" spans="1:6" x14ac:dyDescent="0.25">
      <c r="A44" s="82"/>
      <c r="B44" s="83"/>
      <c r="C44" s="34"/>
      <c r="D44" s="34"/>
      <c r="E44" s="77"/>
      <c r="F44" s="78"/>
    </row>
    <row r="45" spans="1:6" x14ac:dyDescent="0.25">
      <c r="A45" s="82"/>
      <c r="B45" s="83"/>
      <c r="C45" s="34"/>
      <c r="D45" s="34"/>
      <c r="E45" s="77"/>
      <c r="F45" s="78"/>
    </row>
  </sheetData>
  <autoFilter ref="A2:F2">
    <filterColumn colId="0" showButton="0"/>
    <sortState ref="A3:F45">
      <sortCondition ref="A2"/>
    </sortState>
  </autoFilter>
  <mergeCells count="2">
    <mergeCell ref="A1:F1"/>
    <mergeCell ref="A2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Geral</vt:lpstr>
      <vt:lpstr>Ranking</vt:lpstr>
      <vt:lpstr>99Food</vt:lpstr>
      <vt:lpstr>La Fruta</vt:lpstr>
      <vt:lpstr>La Fit</vt:lpstr>
      <vt:lpstr>Lanches</vt:lpstr>
      <vt:lpstr>Baratim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2026-01-08T12:48:51Z</dcterms:created>
  <dcterms:modified xsi:type="dcterms:W3CDTF">2026-02-12T12:58:36Z</dcterms:modified>
</cp:coreProperties>
</file>